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J:\000-工作资料\03-材料撰写\06-智库+研究\2026.06.22-负荷特性研究\十四五期间山东全省年度全社会用电分类\"/>
    </mc:Choice>
  </mc:AlternateContent>
  <xr:revisionPtr revIDLastSave="0" documentId="13_ncr:1_{8D4B9055-531E-4A2D-8817-E3C04100B25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国网山东省电力公司" sheetId="1" r:id="rId1"/>
  </sheets>
  <definedNames>
    <definedName name="_xlnm.Print_Area" localSheetId="0">国网山东省电力公司!$A$9:$D$151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K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6" i="1"/>
  <c r="J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L77" i="1"/>
  <c r="M77" i="1"/>
  <c r="N77" i="1"/>
  <c r="L78" i="1"/>
  <c r="M78" i="1"/>
  <c r="N78" i="1"/>
  <c r="L79" i="1"/>
  <c r="M79" i="1"/>
  <c r="N79" i="1"/>
  <c r="L80" i="1"/>
  <c r="M80" i="1"/>
  <c r="N80" i="1"/>
  <c r="L81" i="1"/>
  <c r="M81" i="1"/>
  <c r="N81" i="1"/>
  <c r="L82" i="1"/>
  <c r="M82" i="1"/>
  <c r="N82" i="1"/>
  <c r="L83" i="1"/>
  <c r="M83" i="1"/>
  <c r="N83" i="1"/>
  <c r="L84" i="1"/>
  <c r="M84" i="1"/>
  <c r="N84" i="1"/>
  <c r="L85" i="1"/>
  <c r="M85" i="1"/>
  <c r="N85" i="1"/>
  <c r="L86" i="1"/>
  <c r="M86" i="1"/>
  <c r="N86" i="1"/>
  <c r="L87" i="1"/>
  <c r="M87" i="1"/>
  <c r="N87" i="1"/>
  <c r="L88" i="1"/>
  <c r="M88" i="1"/>
  <c r="N88" i="1"/>
  <c r="L89" i="1"/>
  <c r="M89" i="1"/>
  <c r="N89" i="1"/>
  <c r="L90" i="1"/>
  <c r="M90" i="1"/>
  <c r="N90" i="1"/>
  <c r="L91" i="1"/>
  <c r="M91" i="1"/>
  <c r="N91" i="1"/>
  <c r="L92" i="1"/>
  <c r="M92" i="1"/>
  <c r="N92" i="1"/>
  <c r="L93" i="1"/>
  <c r="M93" i="1"/>
  <c r="N93" i="1"/>
  <c r="L94" i="1"/>
  <c r="M94" i="1"/>
  <c r="N94" i="1"/>
  <c r="L95" i="1"/>
  <c r="M95" i="1"/>
  <c r="N95" i="1"/>
  <c r="L96" i="1"/>
  <c r="M96" i="1"/>
  <c r="N96" i="1"/>
  <c r="L97" i="1"/>
  <c r="M97" i="1"/>
  <c r="N97" i="1"/>
  <c r="L98" i="1"/>
  <c r="M98" i="1"/>
  <c r="N98" i="1"/>
  <c r="L99" i="1"/>
  <c r="M99" i="1"/>
  <c r="N99" i="1"/>
  <c r="L100" i="1"/>
  <c r="M100" i="1"/>
  <c r="N100" i="1"/>
  <c r="L101" i="1"/>
  <c r="M101" i="1"/>
  <c r="N101" i="1"/>
  <c r="L102" i="1"/>
  <c r="M102" i="1"/>
  <c r="N102" i="1"/>
  <c r="L103" i="1"/>
  <c r="M103" i="1"/>
  <c r="N103" i="1"/>
  <c r="L104" i="1"/>
  <c r="M104" i="1"/>
  <c r="N104" i="1"/>
  <c r="L105" i="1"/>
  <c r="M105" i="1"/>
  <c r="N105" i="1"/>
  <c r="L106" i="1"/>
  <c r="M106" i="1"/>
  <c r="N106" i="1"/>
  <c r="L107" i="1"/>
  <c r="M107" i="1"/>
  <c r="N107" i="1"/>
  <c r="L108" i="1"/>
  <c r="M108" i="1"/>
  <c r="N108" i="1"/>
  <c r="L109" i="1"/>
  <c r="M109" i="1"/>
  <c r="N109" i="1"/>
  <c r="L110" i="1"/>
  <c r="M110" i="1"/>
  <c r="N110" i="1"/>
  <c r="L111" i="1"/>
  <c r="M111" i="1"/>
  <c r="N111" i="1"/>
  <c r="L112" i="1"/>
  <c r="M112" i="1"/>
  <c r="N112" i="1"/>
  <c r="L113" i="1"/>
  <c r="M113" i="1"/>
  <c r="N113" i="1"/>
  <c r="L114" i="1"/>
  <c r="M114" i="1"/>
  <c r="N114" i="1"/>
  <c r="L115" i="1"/>
  <c r="M115" i="1"/>
  <c r="N115" i="1"/>
  <c r="L116" i="1"/>
  <c r="M116" i="1"/>
  <c r="N116" i="1"/>
  <c r="L117" i="1"/>
  <c r="M117" i="1"/>
  <c r="N117" i="1"/>
  <c r="L118" i="1"/>
  <c r="M118" i="1"/>
  <c r="N118" i="1"/>
  <c r="L119" i="1"/>
  <c r="M119" i="1"/>
  <c r="N119" i="1"/>
  <c r="L120" i="1"/>
  <c r="M120" i="1"/>
  <c r="N120" i="1"/>
  <c r="L121" i="1"/>
  <c r="M121" i="1"/>
  <c r="N121" i="1"/>
  <c r="L122" i="1"/>
  <c r="M122" i="1"/>
  <c r="N122" i="1"/>
  <c r="L123" i="1"/>
  <c r="M123" i="1"/>
  <c r="N123" i="1"/>
  <c r="L124" i="1"/>
  <c r="M124" i="1"/>
  <c r="N124" i="1"/>
  <c r="L125" i="1"/>
  <c r="M125" i="1"/>
  <c r="N125" i="1"/>
  <c r="L126" i="1"/>
  <c r="M126" i="1"/>
  <c r="N126" i="1"/>
  <c r="L127" i="1"/>
  <c r="M127" i="1"/>
  <c r="N127" i="1"/>
  <c r="L128" i="1"/>
  <c r="M128" i="1"/>
  <c r="N128" i="1"/>
  <c r="L129" i="1"/>
  <c r="M129" i="1"/>
  <c r="N129" i="1"/>
  <c r="L130" i="1"/>
  <c r="M130" i="1"/>
  <c r="N130" i="1"/>
  <c r="L131" i="1"/>
  <c r="M131" i="1"/>
  <c r="N131" i="1"/>
  <c r="L132" i="1"/>
  <c r="M132" i="1"/>
  <c r="N132" i="1"/>
  <c r="L133" i="1"/>
  <c r="M133" i="1"/>
  <c r="N133" i="1"/>
  <c r="L134" i="1"/>
  <c r="M134" i="1"/>
  <c r="N134" i="1"/>
  <c r="L135" i="1"/>
  <c r="M135" i="1"/>
  <c r="N135" i="1"/>
  <c r="L136" i="1"/>
  <c r="M136" i="1"/>
  <c r="N136" i="1"/>
  <c r="L137" i="1"/>
  <c r="M137" i="1"/>
  <c r="N137" i="1"/>
  <c r="L138" i="1"/>
  <c r="M138" i="1"/>
  <c r="N138" i="1"/>
  <c r="L139" i="1"/>
  <c r="M139" i="1"/>
  <c r="N139" i="1"/>
  <c r="L140" i="1"/>
  <c r="M140" i="1"/>
  <c r="N140" i="1"/>
  <c r="L141" i="1"/>
  <c r="M141" i="1"/>
  <c r="N141" i="1"/>
  <c r="L142" i="1"/>
  <c r="M142" i="1"/>
  <c r="N142" i="1"/>
  <c r="L143" i="1"/>
  <c r="M143" i="1"/>
  <c r="N143" i="1"/>
  <c r="L144" i="1"/>
  <c r="M144" i="1"/>
  <c r="N144" i="1"/>
  <c r="L145" i="1"/>
  <c r="M145" i="1"/>
  <c r="N145" i="1"/>
  <c r="L146" i="1"/>
  <c r="M146" i="1"/>
  <c r="N146" i="1"/>
  <c r="L147" i="1"/>
  <c r="M147" i="1"/>
  <c r="N147" i="1"/>
  <c r="L148" i="1"/>
  <c r="M148" i="1"/>
  <c r="N148" i="1"/>
  <c r="L149" i="1"/>
  <c r="M149" i="1"/>
  <c r="N149" i="1"/>
  <c r="L150" i="1"/>
  <c r="M150" i="1"/>
  <c r="N150" i="1"/>
  <c r="M16" i="1"/>
  <c r="N16" i="1"/>
  <c r="L16" i="1"/>
</calcChain>
</file>

<file path=xl/sharedStrings.xml><?xml version="1.0" encoding="utf-8"?>
<sst xmlns="http://schemas.openxmlformats.org/spreadsheetml/2006/main" count="158" uniqueCount="158">
  <si>
    <t>*</t>
  </si>
  <si>
    <t>国网山东省电力公司</t>
  </si>
  <si>
    <t xml:space="preserve">41311016370100001 </t>
  </si>
  <si>
    <t>于佰建</t>
  </si>
  <si>
    <t>全社会用电分类（全口径）（共享）</t>
  </si>
  <si>
    <t>1115</t>
  </si>
  <si>
    <t>0</t>
  </si>
  <si>
    <t>2022</t>
  </si>
  <si>
    <t>全社会用电分类表</t>
  </si>
  <si>
    <t>指标名称</t>
  </si>
  <si>
    <t>全社会用电总计</t>
  </si>
  <si>
    <t>A、全行业用电合计</t>
  </si>
  <si>
    <t xml:space="preserve">    第一产业</t>
  </si>
  <si>
    <t xml:space="preserve">    第二产业</t>
  </si>
  <si>
    <t xml:space="preserve">    第三产业</t>
  </si>
  <si>
    <t>B、城乡居民生活用电合计</t>
  </si>
  <si>
    <t xml:space="preserve">    城镇居民</t>
  </si>
  <si>
    <t xml:space="preserve">    乡村居民</t>
  </si>
  <si>
    <t>全行业用电分类</t>
  </si>
  <si>
    <t>一、农、林、牧、渔业</t>
  </si>
  <si>
    <t xml:space="preserve">   1.农业</t>
  </si>
  <si>
    <t xml:space="preserve">   2.林业</t>
  </si>
  <si>
    <t xml:space="preserve">   3.畜牧业</t>
  </si>
  <si>
    <t xml:space="preserve">   4.渔业</t>
  </si>
  <si>
    <t xml:space="preserve">   5.农、林、牧、渔专业及辅助性活动</t>
  </si>
  <si>
    <t xml:space="preserve">      其中：排灌</t>
  </si>
  <si>
    <t>二、工业</t>
  </si>
  <si>
    <t>（一）采矿业</t>
  </si>
  <si>
    <t xml:space="preserve">    1.煤炭开采和洗选业</t>
  </si>
  <si>
    <t xml:space="preserve">    2.石油和天然气开采业</t>
  </si>
  <si>
    <t xml:space="preserve">    3.黑色金属矿采选业</t>
  </si>
  <si>
    <t xml:space="preserve">    4.有色金属矿采选业</t>
  </si>
  <si>
    <t xml:space="preserve">    5.非金属矿采选业</t>
  </si>
  <si>
    <t xml:space="preserve">    6.其他采矿活动</t>
  </si>
  <si>
    <t>（二）制造业</t>
  </si>
  <si>
    <t xml:space="preserve">    1.农副食品加工业</t>
  </si>
  <si>
    <t xml:space="preserve">    2.食品制造业</t>
  </si>
  <si>
    <t xml:space="preserve">    3.酒、饮料及精制茶制造业</t>
  </si>
  <si>
    <t xml:space="preserve">    4.烟草制品业</t>
  </si>
  <si>
    <t xml:space="preserve">    5.纺织业</t>
  </si>
  <si>
    <t xml:space="preserve">    6.纺织服装、服饰业</t>
  </si>
  <si>
    <t xml:space="preserve">    7.皮革、毛皮、羽毛及其制品和制鞋业</t>
  </si>
  <si>
    <t xml:space="preserve">    8.木材加工和木、竹、藤、棕、草制品业</t>
  </si>
  <si>
    <t xml:space="preserve">    9.家具制造业</t>
  </si>
  <si>
    <t xml:space="preserve">    10.造纸和纸制品业</t>
  </si>
  <si>
    <t xml:space="preserve">    11.印刷和记录媒介复制业</t>
  </si>
  <si>
    <t xml:space="preserve">    12.文教、工美、体育和娱乐用品制造业</t>
  </si>
  <si>
    <t xml:space="preserve">      其中：体育用品制造</t>
  </si>
  <si>
    <t xml:space="preserve">    13.石油、煤炭及其他燃料加工业</t>
  </si>
  <si>
    <t xml:space="preserve">      其中：煤化工</t>
  </si>
  <si>
    <t xml:space="preserve">    14.化学原料和化学制品制造业</t>
  </si>
  <si>
    <t xml:space="preserve">      其中：氯碱</t>
  </si>
  <si>
    <t xml:space="preserve">            电石</t>
  </si>
  <si>
    <t xml:space="preserve">            黄磷</t>
  </si>
  <si>
    <t xml:space="preserve">      其中：肥料制造</t>
  </si>
  <si>
    <t xml:space="preserve">    15.医药制造业</t>
  </si>
  <si>
    <t xml:space="preserve">      其中：中成药生产</t>
  </si>
  <si>
    <t xml:space="preserve">            生物药品制品制造</t>
  </si>
  <si>
    <t xml:space="preserve">    16.化学纤维制造业</t>
  </si>
  <si>
    <t xml:space="preserve">    17.橡胶和塑料制品业</t>
  </si>
  <si>
    <t xml:space="preserve">      其中：橡胶制品业</t>
  </si>
  <si>
    <t xml:space="preserve">            塑料制品业</t>
  </si>
  <si>
    <t xml:space="preserve">    18.非金属矿物制品业</t>
  </si>
  <si>
    <t xml:space="preserve">      其中：水泥制造</t>
  </si>
  <si>
    <t xml:space="preserve">            玻璃制造</t>
  </si>
  <si>
    <t xml:space="preserve">            陶瓷制品制造</t>
  </si>
  <si>
    <t xml:space="preserve">      其中：碳化硅</t>
  </si>
  <si>
    <t xml:space="preserve">    19.黑色金属冶炼和压延加工业</t>
  </si>
  <si>
    <t xml:space="preserve">      其中：钢铁</t>
  </si>
  <si>
    <t xml:space="preserve">            铁合金冶炼</t>
  </si>
  <si>
    <t xml:space="preserve">    20.有色金属冶炼和压延加工业</t>
  </si>
  <si>
    <t xml:space="preserve">      其中：铝冶炼</t>
  </si>
  <si>
    <t xml:space="preserve">            铅锌冶炼</t>
  </si>
  <si>
    <t xml:space="preserve">            稀有稀土金属冶炼</t>
  </si>
  <si>
    <t xml:space="preserve">    21.金属制品业</t>
  </si>
  <si>
    <t xml:space="preserve">      其中：结构性金属制品制造</t>
  </si>
  <si>
    <t xml:space="preserve">    22.通用设备制造业</t>
  </si>
  <si>
    <t xml:space="preserve">      其中：风能原动设备制造</t>
  </si>
  <si>
    <t xml:space="preserve">    23.专用设备制造业</t>
  </si>
  <si>
    <t xml:space="preserve">      其中：医疗仪器设备及器械制造</t>
  </si>
  <si>
    <t xml:space="preserve">      其中：新能源车整车制造</t>
  </si>
  <si>
    <t xml:space="preserve">    25.铁路.船舶.航空航天和其他运输设备制造业</t>
  </si>
  <si>
    <t xml:space="preserve">      其中：铁路运输设备制造</t>
  </si>
  <si>
    <t xml:space="preserve">            城市轨道交通设备制造</t>
  </si>
  <si>
    <t xml:space="preserve">            航空、航天器及设备制造</t>
  </si>
  <si>
    <t xml:space="preserve">      其中：光伏设备及元器件制造</t>
  </si>
  <si>
    <t xml:space="preserve">    27.计算机、通信和其他电子设备制造业</t>
  </si>
  <si>
    <t xml:space="preserve">      其中：计算机制造</t>
  </si>
  <si>
    <t xml:space="preserve">            通信设备制造</t>
  </si>
  <si>
    <t xml:space="preserve">    28.仪器仪表制造业</t>
  </si>
  <si>
    <t xml:space="preserve">    29.其他制造业</t>
  </si>
  <si>
    <t xml:space="preserve">    30.废弃资源综合利用业</t>
  </si>
  <si>
    <t xml:space="preserve">    31.金属制品、机械和设备修理业</t>
  </si>
  <si>
    <t>（三）电力、热力、燃气及水生产和供应业</t>
  </si>
  <si>
    <t xml:space="preserve">    1.电力、热力生产和供应业</t>
  </si>
  <si>
    <t xml:space="preserve">      其中：电厂生产全部耗用电量</t>
  </si>
  <si>
    <t xml:space="preserve">            线路损失电量</t>
  </si>
  <si>
    <t xml:space="preserve">            抽水蓄能抽水耗用电量</t>
  </si>
  <si>
    <t xml:space="preserve">    2.燃气生产和供应业</t>
  </si>
  <si>
    <t xml:space="preserve">    3.水的生产和供应业</t>
  </si>
  <si>
    <t>三、建筑业</t>
  </si>
  <si>
    <t xml:space="preserve">   1.房屋建筑业</t>
  </si>
  <si>
    <t xml:space="preserve">   2.土木工程建筑业</t>
  </si>
  <si>
    <t xml:space="preserve">   3.建筑安装业</t>
  </si>
  <si>
    <t xml:space="preserve">   4.建筑装饰、装修和其他建筑业</t>
  </si>
  <si>
    <t>四、交通运输、仓储和邮政业</t>
  </si>
  <si>
    <t xml:space="preserve">   1.铁路运输业</t>
  </si>
  <si>
    <t xml:space="preserve">      其中：电气化铁路</t>
  </si>
  <si>
    <t xml:space="preserve">   2.道路运输业</t>
  </si>
  <si>
    <t xml:space="preserve">      其中：城市公共交通运输</t>
  </si>
  <si>
    <t xml:space="preserve">   3.水上运输业</t>
  </si>
  <si>
    <t xml:space="preserve">      其中：港口岸电</t>
  </si>
  <si>
    <t xml:space="preserve">   4.航空运输业</t>
  </si>
  <si>
    <t xml:space="preserve">   5.管道运输业</t>
  </si>
  <si>
    <t xml:space="preserve">   6.多式联运和运输代理业</t>
  </si>
  <si>
    <t xml:space="preserve">   7.装卸搬运和仓储业</t>
  </si>
  <si>
    <t xml:space="preserve">   8.邮政业</t>
  </si>
  <si>
    <t>五、信息传输、软件和信息技术服务业</t>
  </si>
  <si>
    <t xml:space="preserve">   1.电信、广播电视和卫星传输服务</t>
  </si>
  <si>
    <t xml:space="preserve">      其中：互联网数据服务</t>
  </si>
  <si>
    <t xml:space="preserve">   3.软件和信息技术服务业</t>
  </si>
  <si>
    <t>六、批发和零售业</t>
  </si>
  <si>
    <t xml:space="preserve">      其中：充换电服务业</t>
  </si>
  <si>
    <t>七、住宿和餐饮业</t>
  </si>
  <si>
    <t>八、金融业</t>
  </si>
  <si>
    <t>九、房地产业</t>
  </si>
  <si>
    <t>十、租赁和商务服务业</t>
  </si>
  <si>
    <t xml:space="preserve">      其中：租赁业</t>
  </si>
  <si>
    <t>十一、公共服务及管理组织</t>
  </si>
  <si>
    <t xml:space="preserve">   1.科学研究和技术服务业</t>
  </si>
  <si>
    <t xml:space="preserve">      其中:地质勘查</t>
  </si>
  <si>
    <t xml:space="preserve">      其中：科技推广和应用服务业</t>
  </si>
  <si>
    <t xml:space="preserve">   2.水利、环境和公共设施管理业</t>
  </si>
  <si>
    <t xml:space="preserve">      其中：水利管理业</t>
  </si>
  <si>
    <t xml:space="preserve">      其中：公共照明</t>
  </si>
  <si>
    <t xml:space="preserve">   3.居民服务、修理和其他服务业</t>
  </si>
  <si>
    <t xml:space="preserve">   4.教育、文化、体育和娱乐业</t>
  </si>
  <si>
    <t xml:space="preserve">      其中：教育</t>
  </si>
  <si>
    <t xml:space="preserve">   5.卫生和社会工作</t>
  </si>
  <si>
    <t xml:space="preserve">   6.公共管理和社会组织、国际组织</t>
  </si>
  <si>
    <t>补充指标</t>
  </si>
  <si>
    <t xml:space="preserve">  开采专业及辅助性活动</t>
  </si>
  <si>
    <t>2022年</t>
    <phoneticPr fontId="5" type="noConversion"/>
  </si>
  <si>
    <t>单位：万千瓦时</t>
    <phoneticPr fontId="9" type="noConversion"/>
  </si>
  <si>
    <t xml:space="preserve">   2.互联网和相关服务</t>
    <phoneticPr fontId="5" type="noConversion"/>
  </si>
  <si>
    <t>2020年</t>
  </si>
  <si>
    <t>2021年</t>
  </si>
  <si>
    <t>2023年</t>
  </si>
  <si>
    <t>2024年</t>
  </si>
  <si>
    <t>2025年</t>
  </si>
  <si>
    <t>2022占比</t>
    <phoneticPr fontId="5" type="noConversion"/>
  </si>
  <si>
    <t>2023占比</t>
  </si>
  <si>
    <t>2024占比</t>
  </si>
  <si>
    <t>2025占比</t>
  </si>
  <si>
    <t xml:space="preserve">    26.电气机械和器材制造业</t>
    <phoneticPr fontId="5" type="noConversion"/>
  </si>
  <si>
    <t xml:space="preserve">    24.汽车制造业</t>
    <phoneticPr fontId="5" type="noConversion"/>
  </si>
  <si>
    <t>2020占比</t>
  </si>
  <si>
    <t>2021占比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</si>
</sst>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81" formatCode="0.0%"/>
  </numFmts>
  <fonts count="12" x14ac:knownFonts="1">
    <font>
      <sz val="11"/>
      <name val="宋体"/>
    </font>
    <font>
      <sz val="9"/>
      <name val="宋体"/>
      <charset val="134"/>
    </font>
    <font>
      <sz val="9"/>
      <color indexed="10"/>
      <name val="宋体"/>
      <charset val="134"/>
    </font>
    <font>
      <b/>
      <sz val="16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9"/>
      <color rgb="FFFF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11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0" xfId="0" applyFill="1"/>
    <xf numFmtId="176" fontId="1" fillId="2" borderId="5" xfId="0" applyNumberFormat="1" applyFont="1" applyFill="1" applyBorder="1" applyAlignment="1">
      <alignment horizontal="right" vertical="center"/>
    </xf>
    <xf numFmtId="0" fontId="6" fillId="0" borderId="0" xfId="0" applyFont="1"/>
    <xf numFmtId="181" fontId="0" fillId="0" borderId="0" xfId="1" applyNumberFormat="1" applyFont="1" applyAlignment="1"/>
    <xf numFmtId="176" fontId="7" fillId="2" borderId="5" xfId="0" applyNumberFormat="1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 vertical="center"/>
    </xf>
    <xf numFmtId="0" fontId="8" fillId="0" borderId="0" xfId="0" applyFont="1"/>
    <xf numFmtId="176" fontId="5" fillId="0" borderId="5" xfId="0" applyNumberFormat="1" applyFont="1" applyBorder="1" applyAlignment="1">
      <alignment horizontal="right" vertical="center"/>
    </xf>
    <xf numFmtId="176" fontId="10" fillId="0" borderId="6" xfId="0" applyNumberFormat="1" applyFont="1" applyBorder="1" applyAlignment="1">
      <alignment horizontal="right" vertical="center"/>
    </xf>
    <xf numFmtId="176" fontId="10" fillId="0" borderId="4" xfId="0" applyNumberFormat="1" applyFont="1" applyBorder="1" applyAlignment="1">
      <alignment horizontal="right"/>
    </xf>
    <xf numFmtId="49" fontId="7" fillId="2" borderId="1" xfId="0" applyNumberFormat="1" applyFont="1" applyFill="1" applyBorder="1" applyAlignment="1">
      <alignment horizontal="left" vertical="center"/>
    </xf>
    <xf numFmtId="176" fontId="7" fillId="0" borderId="6" xfId="0" applyNumberFormat="1" applyFont="1" applyBorder="1" applyAlignment="1">
      <alignment horizontal="right" vertical="center"/>
    </xf>
    <xf numFmtId="176" fontId="7" fillId="0" borderId="5" xfId="0" applyNumberFormat="1" applyFont="1" applyBorder="1" applyAlignment="1">
      <alignment horizontal="right" vertical="center"/>
    </xf>
    <xf numFmtId="0" fontId="11" fillId="0" borderId="0" xfId="0" applyFont="1"/>
    <xf numFmtId="181" fontId="11" fillId="0" borderId="0" xfId="1" applyNumberFormat="1" applyFont="1" applyAlignment="1"/>
    <xf numFmtId="176" fontId="7" fillId="0" borderId="4" xfId="0" applyNumberFormat="1" applyFont="1" applyBorder="1" applyAlignment="1">
      <alignment horizontal="right"/>
    </xf>
  </cellXfs>
  <cellStyles count="2">
    <cellStyle name="百分比" xfId="1" builtinId="5"/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150"/>
  <sheetViews>
    <sheetView showZeros="0" tabSelected="1" zoomScaleNormal="100" workbookViewId="0">
      <pane xSplit="1" ySplit="15" topLeftCell="B16" activePane="bottomRight" state="frozenSplit"/>
      <selection pane="topRight"/>
      <selection pane="bottomLeft"/>
      <selection pane="bottomRight" activeCell="F12" sqref="F12"/>
    </sheetView>
  </sheetViews>
  <sheetFormatPr defaultColWidth="9.08984375" defaultRowHeight="14" x14ac:dyDescent="0.25"/>
  <cols>
    <col min="1" max="1" width="31.90625"/>
    <col min="2" max="2" width="17.7265625" customWidth="1"/>
    <col min="3" max="3" width="14.7265625" customWidth="1"/>
    <col min="4" max="4" width="16.7265625" style="12"/>
    <col min="5" max="7" width="15.26953125" customWidth="1"/>
    <col min="11" max="14" width="13.90625" customWidth="1"/>
  </cols>
  <sheetData>
    <row r="1" spans="1:14" hidden="1" x14ac:dyDescent="0.25">
      <c r="A1" s="1" t="s">
        <v>0</v>
      </c>
    </row>
    <row r="2" spans="1:14" hidden="1" x14ac:dyDescent="0.25">
      <c r="A2" s="3" t="s">
        <v>1</v>
      </c>
    </row>
    <row r="3" spans="1:14" hidden="1" x14ac:dyDescent="0.25">
      <c r="A3" s="4" t="s">
        <v>2</v>
      </c>
    </row>
    <row r="4" spans="1:14" hidden="1" x14ac:dyDescent="0.25">
      <c r="A4" s="3" t="s">
        <v>3</v>
      </c>
    </row>
    <row r="5" spans="1:14" hidden="1" x14ac:dyDescent="0.25">
      <c r="A5" s="1" t="s">
        <v>4</v>
      </c>
    </row>
    <row r="6" spans="1:14" hidden="1" x14ac:dyDescent="0.25">
      <c r="A6" s="2" t="s">
        <v>5</v>
      </c>
    </row>
    <row r="7" spans="1:14" hidden="1" x14ac:dyDescent="0.25">
      <c r="A7" s="1" t="s">
        <v>6</v>
      </c>
    </row>
    <row r="8" spans="1:14" hidden="1" x14ac:dyDescent="0.25">
      <c r="A8" s="3" t="s">
        <v>7</v>
      </c>
    </row>
    <row r="9" spans="1:14" ht="28.5" customHeight="1" x14ac:dyDescent="0.25">
      <c r="A9" s="9" t="s">
        <v>8</v>
      </c>
      <c r="B9" s="9"/>
      <c r="C9" s="9"/>
      <c r="D9" s="9"/>
    </row>
    <row r="10" spans="1:14" x14ac:dyDescent="0.25">
      <c r="D10" s="5"/>
    </row>
    <row r="11" spans="1:14" x14ac:dyDescent="0.25">
      <c r="A11" s="18" t="s">
        <v>143</v>
      </c>
      <c r="D11" s="5"/>
    </row>
    <row r="12" spans="1:14" x14ac:dyDescent="0.25">
      <c r="A12" s="5"/>
      <c r="D12" s="5"/>
    </row>
    <row r="13" spans="1:14" ht="15" customHeight="1" x14ac:dyDescent="0.25">
      <c r="D13" s="6"/>
    </row>
    <row r="14" spans="1:14" ht="15" customHeight="1" x14ac:dyDescent="0.25">
      <c r="A14" s="10" t="s">
        <v>9</v>
      </c>
      <c r="D14" s="7"/>
    </row>
    <row r="15" spans="1:14" ht="15" customHeight="1" x14ac:dyDescent="0.25">
      <c r="A15" s="11"/>
      <c r="B15" s="17" t="s">
        <v>145</v>
      </c>
      <c r="C15" s="17" t="s">
        <v>146</v>
      </c>
      <c r="D15" s="17" t="s">
        <v>142</v>
      </c>
      <c r="E15" s="17" t="s">
        <v>147</v>
      </c>
      <c r="F15" s="17" t="s">
        <v>148</v>
      </c>
      <c r="G15" s="17" t="s">
        <v>149</v>
      </c>
      <c r="I15" s="14" t="s">
        <v>156</v>
      </c>
      <c r="J15" s="14" t="s">
        <v>157</v>
      </c>
      <c r="K15" s="14" t="s">
        <v>150</v>
      </c>
      <c r="L15" s="14" t="s">
        <v>151</v>
      </c>
      <c r="M15" s="14" t="s">
        <v>152</v>
      </c>
      <c r="N15" s="14" t="s">
        <v>153</v>
      </c>
    </row>
    <row r="16" spans="1:14" ht="15" customHeight="1" x14ac:dyDescent="0.25">
      <c r="A16" s="8" t="s">
        <v>10</v>
      </c>
      <c r="B16" s="20">
        <v>69398449.522400007</v>
      </c>
      <c r="C16" s="19">
        <v>73825079.229000002</v>
      </c>
      <c r="D16" s="13">
        <v>75591927.802000001</v>
      </c>
      <c r="E16" s="21">
        <v>79655905.6646</v>
      </c>
      <c r="F16" s="21">
        <v>83197167.8477</v>
      </c>
      <c r="G16" s="21">
        <v>86706574.212899998</v>
      </c>
      <c r="I16" s="15">
        <f>B16/B$16</f>
        <v>1</v>
      </c>
      <c r="J16" s="15">
        <f>C16/C$16</f>
        <v>1</v>
      </c>
      <c r="K16" s="15">
        <f>D16/D$16</f>
        <v>1</v>
      </c>
      <c r="L16" s="15">
        <f>E16/E$16</f>
        <v>1</v>
      </c>
      <c r="M16" s="15">
        <f t="shared" ref="M16:N16" si="0">F16/F$16</f>
        <v>1</v>
      </c>
      <c r="N16" s="15">
        <f t="shared" si="0"/>
        <v>1</v>
      </c>
    </row>
    <row r="17" spans="1:14" ht="15" customHeight="1" x14ac:dyDescent="0.25">
      <c r="A17" s="8" t="s">
        <v>11</v>
      </c>
      <c r="B17" s="20">
        <v>62136764.693000004</v>
      </c>
      <c r="C17" s="19">
        <v>66016640.948799998</v>
      </c>
      <c r="D17" s="13">
        <v>66672724.052900001</v>
      </c>
      <c r="E17" s="21">
        <v>70290871.068499997</v>
      </c>
      <c r="F17" s="21">
        <v>72868930.764599994</v>
      </c>
      <c r="G17" s="21">
        <v>75449749.377000004</v>
      </c>
      <c r="I17" s="15">
        <f t="shared" ref="I17:I80" si="1">B17/B$16</f>
        <v>0.89536243418441042</v>
      </c>
      <c r="J17" s="15">
        <f t="shared" ref="J17:J80" si="2">C17/C$16</f>
        <v>0.89423054656021705</v>
      </c>
      <c r="K17" s="15">
        <f t="shared" ref="K17:K80" si="3">D17/D$16</f>
        <v>0.88200851587669105</v>
      </c>
      <c r="L17" s="15">
        <f t="shared" ref="L17:L80" si="4">E17/E$16</f>
        <v>0.88243138386333186</v>
      </c>
      <c r="M17" s="15">
        <f t="shared" ref="M17:M80" si="5">F17/F$16</f>
        <v>0.87585830923948294</v>
      </c>
      <c r="N17" s="15">
        <f t="shared" ref="N17:N80" si="6">G17/G$16</f>
        <v>0.87017334108645672</v>
      </c>
    </row>
    <row r="18" spans="1:14" ht="15" customHeight="1" x14ac:dyDescent="0.25">
      <c r="A18" s="8" t="s">
        <v>12</v>
      </c>
      <c r="B18" s="20">
        <v>957810.42669999995</v>
      </c>
      <c r="C18" s="19">
        <v>1047390.3039000001</v>
      </c>
      <c r="D18" s="13">
        <v>1166670.0256000001</v>
      </c>
      <c r="E18" s="21">
        <v>1323920.3802</v>
      </c>
      <c r="F18" s="21">
        <v>1512432.4872999999</v>
      </c>
      <c r="G18" s="21">
        <v>1718068.8269</v>
      </c>
      <c r="I18" s="15">
        <f t="shared" si="1"/>
        <v>1.3801611322610943E-2</v>
      </c>
      <c r="J18" s="15">
        <f t="shared" si="2"/>
        <v>1.4187459259624658E-2</v>
      </c>
      <c r="K18" s="15">
        <f t="shared" si="3"/>
        <v>1.5433791140449423E-2</v>
      </c>
      <c r="L18" s="15">
        <f t="shared" si="4"/>
        <v>1.6620492468876234E-2</v>
      </c>
      <c r="M18" s="15">
        <f t="shared" si="5"/>
        <v>1.8178893902598289E-2</v>
      </c>
      <c r="N18" s="15">
        <f t="shared" si="6"/>
        <v>1.9814746949653902E-2</v>
      </c>
    </row>
    <row r="19" spans="1:14" ht="15" customHeight="1" x14ac:dyDescent="0.25">
      <c r="A19" s="8" t="s">
        <v>13</v>
      </c>
      <c r="B19" s="20">
        <v>53916512.140500002</v>
      </c>
      <c r="C19" s="19">
        <v>56590475.623300001</v>
      </c>
      <c r="D19" s="13">
        <v>56736471.6589</v>
      </c>
      <c r="E19" s="21">
        <v>59069641.034500003</v>
      </c>
      <c r="F19" s="21">
        <v>60711073.804899998</v>
      </c>
      <c r="G19" s="21">
        <v>62429765.029100001</v>
      </c>
      <c r="I19" s="15">
        <f t="shared" si="1"/>
        <v>0.77691234475054316</v>
      </c>
      <c r="J19" s="15">
        <f t="shared" si="2"/>
        <v>0.76654811907157572</v>
      </c>
      <c r="K19" s="15">
        <f t="shared" si="3"/>
        <v>0.75056257074844535</v>
      </c>
      <c r="L19" s="15">
        <f t="shared" si="4"/>
        <v>0.74156009578522974</v>
      </c>
      <c r="M19" s="15">
        <f t="shared" si="5"/>
        <v>0.7297252463694095</v>
      </c>
      <c r="N19" s="15">
        <f t="shared" si="6"/>
        <v>0.72001189755011508</v>
      </c>
    </row>
    <row r="20" spans="1:14" ht="15" customHeight="1" x14ac:dyDescent="0.25">
      <c r="A20" s="8" t="s">
        <v>14</v>
      </c>
      <c r="B20" s="20">
        <v>7262442.1257999996</v>
      </c>
      <c r="C20" s="19">
        <v>8378775.0215999996</v>
      </c>
      <c r="D20" s="13">
        <v>8769582.3684</v>
      </c>
      <c r="E20" s="21">
        <v>9897309.6537999995</v>
      </c>
      <c r="F20" s="21">
        <v>10645424.6631</v>
      </c>
      <c r="G20" s="21">
        <v>11301915.521</v>
      </c>
      <c r="I20" s="15">
        <f t="shared" si="1"/>
        <v>0.10464847811125626</v>
      </c>
      <c r="J20" s="15">
        <f t="shared" si="2"/>
        <v>0.11349496822901675</v>
      </c>
      <c r="K20" s="15">
        <f t="shared" si="3"/>
        <v>0.11601215398779624</v>
      </c>
      <c r="L20" s="15">
        <f t="shared" si="4"/>
        <v>0.12425079560922597</v>
      </c>
      <c r="M20" s="15">
        <f t="shared" si="5"/>
        <v>0.12795417125962052</v>
      </c>
      <c r="N20" s="15">
        <f t="shared" si="6"/>
        <v>0.13034669658668774</v>
      </c>
    </row>
    <row r="21" spans="1:14" s="25" customFormat="1" ht="15" customHeight="1" x14ac:dyDescent="0.25">
      <c r="A21" s="22" t="s">
        <v>15</v>
      </c>
      <c r="B21" s="23">
        <v>7261684.8294000002</v>
      </c>
      <c r="C21" s="24">
        <v>7808438.2801999999</v>
      </c>
      <c r="D21" s="16">
        <v>8919203.7490999997</v>
      </c>
      <c r="E21" s="27">
        <v>9365034.5961000007</v>
      </c>
      <c r="F21" s="27">
        <v>10328237.0831</v>
      </c>
      <c r="G21" s="27">
        <v>11256824.835899999</v>
      </c>
      <c r="I21" s="15">
        <f t="shared" si="1"/>
        <v>0.10463756581558956</v>
      </c>
      <c r="J21" s="15">
        <f t="shared" si="2"/>
        <v>0.1057694534397829</v>
      </c>
      <c r="K21" s="15">
        <f t="shared" si="3"/>
        <v>0.11799148412330895</v>
      </c>
      <c r="L21" s="15">
        <f t="shared" si="4"/>
        <v>0.11756861613666807</v>
      </c>
      <c r="M21" s="15">
        <f t="shared" si="5"/>
        <v>0.124141690760517</v>
      </c>
      <c r="N21" s="15">
        <f t="shared" si="6"/>
        <v>0.12982665891354334</v>
      </c>
    </row>
    <row r="22" spans="1:14" ht="15" customHeight="1" x14ac:dyDescent="0.25">
      <c r="A22" s="8" t="s">
        <v>16</v>
      </c>
      <c r="B22" s="20">
        <v>3825004.0992000001</v>
      </c>
      <c r="C22" s="19">
        <v>4154214.2201</v>
      </c>
      <c r="D22" s="13">
        <v>4694963.1525999997</v>
      </c>
      <c r="E22" s="21">
        <v>5046767.8135000002</v>
      </c>
      <c r="F22" s="21">
        <v>5631701.1166000003</v>
      </c>
      <c r="G22" s="21">
        <v>6216893.7341999998</v>
      </c>
      <c r="I22" s="15">
        <f t="shared" si="1"/>
        <v>5.5116564210348655E-2</v>
      </c>
      <c r="J22" s="15">
        <f t="shared" si="2"/>
        <v>5.6271043166969466E-2</v>
      </c>
      <c r="K22" s="15">
        <f t="shared" si="3"/>
        <v>6.2109318932805163E-2</v>
      </c>
      <c r="L22" s="15">
        <f t="shared" si="4"/>
        <v>6.3357107943131971E-2</v>
      </c>
      <c r="M22" s="15">
        <f t="shared" si="5"/>
        <v>6.7691019565826363E-2</v>
      </c>
      <c r="N22" s="15">
        <f t="shared" si="6"/>
        <v>7.1700373248918703E-2</v>
      </c>
    </row>
    <row r="23" spans="1:14" ht="15" customHeight="1" x14ac:dyDescent="0.25">
      <c r="A23" s="8" t="s">
        <v>17</v>
      </c>
      <c r="B23" s="20">
        <v>3436680.7302000001</v>
      </c>
      <c r="C23" s="19">
        <v>3654224.0600999999</v>
      </c>
      <c r="D23" s="13">
        <v>4224240.5965</v>
      </c>
      <c r="E23" s="21">
        <v>4318266.7825999996</v>
      </c>
      <c r="F23" s="21">
        <v>4696535.9665000001</v>
      </c>
      <c r="G23" s="21">
        <v>5039931.1017000005</v>
      </c>
      <c r="I23" s="15">
        <f t="shared" si="1"/>
        <v>4.9521001605240894E-2</v>
      </c>
      <c r="J23" s="15">
        <f t="shared" si="2"/>
        <v>4.9498410272813438E-2</v>
      </c>
      <c r="K23" s="15">
        <f t="shared" si="3"/>
        <v>5.5882165190503791E-2</v>
      </c>
      <c r="L23" s="15">
        <f t="shared" si="4"/>
        <v>5.4211508193536075E-2</v>
      </c>
      <c r="M23" s="15">
        <f t="shared" si="5"/>
        <v>5.6450671194690633E-2</v>
      </c>
      <c r="N23" s="15">
        <f t="shared" si="6"/>
        <v>5.8126285664624626E-2</v>
      </c>
    </row>
    <row r="24" spans="1:14" ht="15" customHeight="1" x14ac:dyDescent="0.25">
      <c r="A24" s="8" t="s">
        <v>18</v>
      </c>
      <c r="B24" s="20">
        <v>62136764.693000004</v>
      </c>
      <c r="C24" s="19">
        <v>66016640.948799998</v>
      </c>
      <c r="D24" s="13">
        <v>66672724.052900001</v>
      </c>
      <c r="E24" s="21">
        <v>70290871.068499997</v>
      </c>
      <c r="F24" s="21">
        <v>72868930.764599994</v>
      </c>
      <c r="G24" s="21">
        <v>75449749.377000004</v>
      </c>
      <c r="I24" s="15">
        <f t="shared" si="1"/>
        <v>0.89536243418441042</v>
      </c>
      <c r="J24" s="15">
        <f t="shared" si="2"/>
        <v>0.89423054656021705</v>
      </c>
      <c r="K24" s="15">
        <f t="shared" si="3"/>
        <v>0.88200851587669105</v>
      </c>
      <c r="L24" s="15">
        <f t="shared" si="4"/>
        <v>0.88243138386333186</v>
      </c>
      <c r="M24" s="15">
        <f t="shared" si="5"/>
        <v>0.87585830923948294</v>
      </c>
      <c r="N24" s="15">
        <f t="shared" si="6"/>
        <v>0.87017334108645672</v>
      </c>
    </row>
    <row r="25" spans="1:14" ht="15" customHeight="1" x14ac:dyDescent="0.25">
      <c r="A25" s="8" t="s">
        <v>19</v>
      </c>
      <c r="B25" s="20">
        <v>1414759.4103999999</v>
      </c>
      <c r="C25" s="19">
        <v>1423322.9711</v>
      </c>
      <c r="D25" s="13">
        <v>1574429.773</v>
      </c>
      <c r="E25" s="21">
        <v>1760950.0985999999</v>
      </c>
      <c r="F25" s="21">
        <v>1873268.405</v>
      </c>
      <c r="G25" s="21">
        <v>2046762.0382000001</v>
      </c>
      <c r="I25" s="15">
        <f t="shared" si="1"/>
        <v>2.0386037730473396E-2</v>
      </c>
      <c r="J25" s="15">
        <f t="shared" si="2"/>
        <v>1.9279667370013326E-2</v>
      </c>
      <c r="K25" s="15">
        <f t="shared" si="3"/>
        <v>2.0828014561606985E-2</v>
      </c>
      <c r="L25" s="15">
        <f t="shared" si="4"/>
        <v>2.2106962238489573E-2</v>
      </c>
      <c r="M25" s="15">
        <f t="shared" si="5"/>
        <v>2.2516011704018443E-2</v>
      </c>
      <c r="N25" s="15">
        <f t="shared" si="6"/>
        <v>2.3605615338628934E-2</v>
      </c>
    </row>
    <row r="26" spans="1:14" ht="15" customHeight="1" x14ac:dyDescent="0.25">
      <c r="A26" s="8" t="s">
        <v>20</v>
      </c>
      <c r="B26" s="20">
        <v>413369.13130000001</v>
      </c>
      <c r="C26" s="19">
        <v>425245.91840000002</v>
      </c>
      <c r="D26" s="13">
        <v>473758.98859999998</v>
      </c>
      <c r="E26" s="21">
        <v>534336.10560000001</v>
      </c>
      <c r="F26" s="21">
        <v>633220.11029999994</v>
      </c>
      <c r="G26" s="21">
        <v>747515.61959999998</v>
      </c>
      <c r="I26" s="15">
        <f t="shared" si="1"/>
        <v>5.956460614679515E-3</v>
      </c>
      <c r="J26" s="15">
        <f t="shared" si="2"/>
        <v>5.7601823505115148E-3</v>
      </c>
      <c r="K26" s="15">
        <f t="shared" si="3"/>
        <v>6.2673224823810532E-3</v>
      </c>
      <c r="L26" s="15">
        <f t="shared" si="4"/>
        <v>6.7080538616920791E-3</v>
      </c>
      <c r="M26" s="15">
        <f t="shared" si="5"/>
        <v>7.6110777167218849E-3</v>
      </c>
      <c r="N26" s="15">
        <f t="shared" si="6"/>
        <v>8.6212104028530103E-3</v>
      </c>
    </row>
    <row r="27" spans="1:14" ht="15" customHeight="1" x14ac:dyDescent="0.25">
      <c r="A27" s="8" t="s">
        <v>21</v>
      </c>
      <c r="B27" s="20">
        <v>12975.6502</v>
      </c>
      <c r="C27" s="19">
        <v>12491.679700000001</v>
      </c>
      <c r="D27" s="13">
        <v>13066.6605</v>
      </c>
      <c r="E27" s="21">
        <v>13481.1054</v>
      </c>
      <c r="F27" s="21">
        <v>13937.1824</v>
      </c>
      <c r="G27" s="21">
        <v>14258.746499999999</v>
      </c>
      <c r="I27" s="15">
        <f t="shared" si="1"/>
        <v>1.8697320025589043E-4</v>
      </c>
      <c r="J27" s="15">
        <f t="shared" si="2"/>
        <v>1.6920645166193079E-4</v>
      </c>
      <c r="K27" s="15">
        <f t="shared" si="3"/>
        <v>1.7285788152176593E-4</v>
      </c>
      <c r="L27" s="15">
        <f t="shared" si="4"/>
        <v>1.6924175662208507E-4</v>
      </c>
      <c r="M27" s="15">
        <f t="shared" si="5"/>
        <v>1.6751991396526001E-4</v>
      </c>
      <c r="N27" s="15">
        <f t="shared" si="6"/>
        <v>1.6444827430258012E-4</v>
      </c>
    </row>
    <row r="28" spans="1:14" ht="15" customHeight="1" x14ac:dyDescent="0.25">
      <c r="A28" s="8" t="s">
        <v>22</v>
      </c>
      <c r="B28" s="20">
        <v>389569.19199999998</v>
      </c>
      <c r="C28" s="19">
        <v>459215.46149999998</v>
      </c>
      <c r="D28" s="13">
        <v>497376.30930000002</v>
      </c>
      <c r="E28" s="21">
        <v>558561.40480000002</v>
      </c>
      <c r="F28" s="21">
        <v>614317.12780000002</v>
      </c>
      <c r="G28" s="21">
        <v>690233.57590000005</v>
      </c>
      <c r="I28" s="15">
        <f t="shared" si="1"/>
        <v>5.613514346228401E-3</v>
      </c>
      <c r="J28" s="15">
        <f t="shared" si="2"/>
        <v>6.2203178959760706E-3</v>
      </c>
      <c r="K28" s="15">
        <f t="shared" si="3"/>
        <v>6.5797542642752989E-3</v>
      </c>
      <c r="L28" s="15">
        <f t="shared" si="4"/>
        <v>7.012178194946205E-3</v>
      </c>
      <c r="M28" s="15">
        <f t="shared" si="5"/>
        <v>7.383870673633549E-3</v>
      </c>
      <c r="N28" s="15">
        <f t="shared" si="6"/>
        <v>7.9605679519201764E-3</v>
      </c>
    </row>
    <row r="29" spans="1:14" ht="15" customHeight="1" x14ac:dyDescent="0.25">
      <c r="A29" s="8" t="s">
        <v>23</v>
      </c>
      <c r="B29" s="20">
        <v>141896.45319999999</v>
      </c>
      <c r="C29" s="19">
        <v>150437.24429999999</v>
      </c>
      <c r="D29" s="13">
        <v>182468.06719999999</v>
      </c>
      <c r="E29" s="21">
        <v>217541.76439999999</v>
      </c>
      <c r="F29" s="21">
        <v>250958.0668</v>
      </c>
      <c r="G29" s="21">
        <v>266060.8849</v>
      </c>
      <c r="I29" s="15">
        <f t="shared" si="1"/>
        <v>2.0446631614471377E-3</v>
      </c>
      <c r="J29" s="15">
        <f t="shared" si="2"/>
        <v>2.037752561475141E-3</v>
      </c>
      <c r="K29" s="15">
        <f t="shared" si="3"/>
        <v>2.4138565122713046E-3</v>
      </c>
      <c r="L29" s="15">
        <f t="shared" si="4"/>
        <v>2.7310186556158641E-3</v>
      </c>
      <c r="M29" s="15">
        <f t="shared" si="5"/>
        <v>3.0164255982775955E-3</v>
      </c>
      <c r="N29" s="15">
        <f t="shared" si="6"/>
        <v>3.0685203205781377E-3</v>
      </c>
    </row>
    <row r="30" spans="1:14" ht="15" customHeight="1" x14ac:dyDescent="0.25">
      <c r="A30" s="8" t="s">
        <v>24</v>
      </c>
      <c r="B30" s="20">
        <v>456948.98369999998</v>
      </c>
      <c r="C30" s="19">
        <v>375932.66720000003</v>
      </c>
      <c r="D30" s="13">
        <v>407759.74739999999</v>
      </c>
      <c r="E30" s="21">
        <v>437029.71840000001</v>
      </c>
      <c r="F30" s="21">
        <v>360835.91769999999</v>
      </c>
      <c r="G30" s="21">
        <v>328693.21130000002</v>
      </c>
      <c r="I30" s="15">
        <f t="shared" si="1"/>
        <v>6.5844264078624521E-3</v>
      </c>
      <c r="J30" s="15">
        <f t="shared" si="2"/>
        <v>5.0922081103886713E-3</v>
      </c>
      <c r="K30" s="15">
        <f t="shared" si="3"/>
        <v>5.3942234211575638E-3</v>
      </c>
      <c r="L30" s="15">
        <f t="shared" si="4"/>
        <v>5.4864697696133417E-3</v>
      </c>
      <c r="M30" s="15">
        <f t="shared" si="5"/>
        <v>4.3371178014201522E-3</v>
      </c>
      <c r="N30" s="15">
        <f t="shared" si="6"/>
        <v>3.790868388975029E-3</v>
      </c>
    </row>
    <row r="31" spans="1:14" ht="15" customHeight="1" x14ac:dyDescent="0.25">
      <c r="A31" s="8" t="s">
        <v>25</v>
      </c>
      <c r="B31" s="20">
        <v>418494.77169999998</v>
      </c>
      <c r="C31" s="19">
        <v>332419.07569999999</v>
      </c>
      <c r="D31" s="13">
        <v>349695.75170000002</v>
      </c>
      <c r="E31" s="21">
        <v>375784.59749999997</v>
      </c>
      <c r="F31" s="21">
        <v>308098.10960000003</v>
      </c>
      <c r="G31" s="21">
        <v>284883.56819999998</v>
      </c>
      <c r="I31" s="15">
        <f t="shared" si="1"/>
        <v>6.0303187546707484E-3</v>
      </c>
      <c r="J31" s="15">
        <f t="shared" si="2"/>
        <v>4.5027933484346194E-3</v>
      </c>
      <c r="K31" s="15">
        <f t="shared" si="3"/>
        <v>4.6260991334414392E-3</v>
      </c>
      <c r="L31" s="15">
        <f t="shared" si="4"/>
        <v>4.7175987061434284E-3</v>
      </c>
      <c r="M31" s="15">
        <f t="shared" si="5"/>
        <v>3.7032283378203657E-3</v>
      </c>
      <c r="N31" s="15">
        <f t="shared" si="6"/>
        <v>3.2856051664605576E-3</v>
      </c>
    </row>
    <row r="32" spans="1:14" ht="15" customHeight="1" x14ac:dyDescent="0.25">
      <c r="A32" s="8" t="s">
        <v>26</v>
      </c>
      <c r="B32" s="20">
        <v>53269872.747699998</v>
      </c>
      <c r="C32" s="19">
        <v>55856406.7381</v>
      </c>
      <c r="D32" s="13">
        <v>56005223.809</v>
      </c>
      <c r="E32" s="21">
        <v>58357093.404600002</v>
      </c>
      <c r="F32" s="21">
        <v>60051249.023500003</v>
      </c>
      <c r="G32" s="21">
        <v>61871208.3517</v>
      </c>
      <c r="I32" s="15">
        <f t="shared" si="1"/>
        <v>0.76759456607897092</v>
      </c>
      <c r="J32" s="15">
        <f t="shared" si="2"/>
        <v>0.75660476522940812</v>
      </c>
      <c r="K32" s="15">
        <f t="shared" si="3"/>
        <v>0.74088894723912868</v>
      </c>
      <c r="L32" s="15">
        <f t="shared" si="4"/>
        <v>0.73261477498377836</v>
      </c>
      <c r="M32" s="15">
        <f t="shared" si="5"/>
        <v>0.72179439008584145</v>
      </c>
      <c r="N32" s="15">
        <f t="shared" si="6"/>
        <v>0.71356997913192777</v>
      </c>
    </row>
    <row r="33" spans="1:14" ht="15" customHeight="1" x14ac:dyDescent="0.25">
      <c r="A33" s="8" t="s">
        <v>27</v>
      </c>
      <c r="B33" s="20">
        <v>2021607.5873</v>
      </c>
      <c r="C33" s="19">
        <v>1819863.1834</v>
      </c>
      <c r="D33" s="13">
        <v>1855036.8092</v>
      </c>
      <c r="E33" s="21">
        <v>1952284.9761999999</v>
      </c>
      <c r="F33" s="21">
        <v>1973782.5469</v>
      </c>
      <c r="G33" s="21">
        <v>1954752.5892</v>
      </c>
      <c r="I33" s="15">
        <f t="shared" si="1"/>
        <v>2.9130443132558428E-2</v>
      </c>
      <c r="J33" s="15">
        <f t="shared" si="2"/>
        <v>2.4651015649504653E-2</v>
      </c>
      <c r="K33" s="15">
        <f t="shared" si="3"/>
        <v>2.4540144207711549E-2</v>
      </c>
      <c r="L33" s="15">
        <f t="shared" si="4"/>
        <v>2.4508979716084223E-2</v>
      </c>
      <c r="M33" s="15">
        <f t="shared" si="5"/>
        <v>2.3724155496653309E-2</v>
      </c>
      <c r="N33" s="15">
        <f t="shared" si="6"/>
        <v>2.2544456483775791E-2</v>
      </c>
    </row>
    <row r="34" spans="1:14" ht="15" customHeight="1" x14ac:dyDescent="0.25">
      <c r="A34" s="8" t="s">
        <v>28</v>
      </c>
      <c r="B34" s="20">
        <v>612297.46959999995</v>
      </c>
      <c r="C34" s="19">
        <v>565501.85959999997</v>
      </c>
      <c r="D34" s="13">
        <v>514552.03230000002</v>
      </c>
      <c r="E34" s="21">
        <v>520268.25919999997</v>
      </c>
      <c r="F34" s="21">
        <v>528037.42559999996</v>
      </c>
      <c r="G34" s="21">
        <v>499709.14620000002</v>
      </c>
      <c r="I34" s="15">
        <f t="shared" si="1"/>
        <v>8.8229272240782034E-3</v>
      </c>
      <c r="J34" s="15">
        <f t="shared" si="2"/>
        <v>7.660023741333951E-3</v>
      </c>
      <c r="K34" s="15">
        <f t="shared" si="3"/>
        <v>6.8069706285012362E-3</v>
      </c>
      <c r="L34" s="15">
        <f t="shared" si="4"/>
        <v>6.5314461603217097E-3</v>
      </c>
      <c r="M34" s="15">
        <f t="shared" si="5"/>
        <v>6.346819720673913E-3</v>
      </c>
      <c r="N34" s="15">
        <f t="shared" si="6"/>
        <v>5.7632209637646422E-3</v>
      </c>
    </row>
    <row r="35" spans="1:14" ht="15" customHeight="1" x14ac:dyDescent="0.25">
      <c r="A35" s="8" t="s">
        <v>29</v>
      </c>
      <c r="B35" s="20">
        <v>629364.19090000005</v>
      </c>
      <c r="C35" s="19">
        <v>629489.46470000001</v>
      </c>
      <c r="D35" s="13">
        <v>644403.07750000001</v>
      </c>
      <c r="E35" s="21">
        <v>662051.29079999996</v>
      </c>
      <c r="F35" s="21">
        <v>654684.63309999998</v>
      </c>
      <c r="G35" s="21">
        <v>674000.67090000003</v>
      </c>
      <c r="I35" s="15">
        <f t="shared" si="1"/>
        <v>9.0688508926537008E-3</v>
      </c>
      <c r="J35" s="15">
        <f t="shared" si="2"/>
        <v>8.5267699171357424E-3</v>
      </c>
      <c r="K35" s="15">
        <f t="shared" si="3"/>
        <v>8.5247604636820816E-3</v>
      </c>
      <c r="L35" s="15">
        <f t="shared" si="4"/>
        <v>8.3113899123517607E-3</v>
      </c>
      <c r="M35" s="15">
        <f t="shared" si="5"/>
        <v>7.8690735518600809E-3</v>
      </c>
      <c r="N35" s="15">
        <f t="shared" si="6"/>
        <v>7.7733514098372002E-3</v>
      </c>
    </row>
    <row r="36" spans="1:14" ht="15" customHeight="1" x14ac:dyDescent="0.25">
      <c r="A36" s="8" t="s">
        <v>30</v>
      </c>
      <c r="B36" s="20">
        <v>174691.35560000001</v>
      </c>
      <c r="C36" s="19">
        <v>166178.84340000001</v>
      </c>
      <c r="D36" s="13">
        <v>176005.7794</v>
      </c>
      <c r="E36" s="21">
        <v>184147.07889999999</v>
      </c>
      <c r="F36" s="21">
        <v>192322.77170000001</v>
      </c>
      <c r="G36" s="21">
        <v>192083.1029</v>
      </c>
      <c r="I36" s="15">
        <f t="shared" si="1"/>
        <v>2.5172227449204638E-3</v>
      </c>
      <c r="J36" s="15">
        <f t="shared" si="2"/>
        <v>2.2509809015514278E-3</v>
      </c>
      <c r="K36" s="15">
        <f t="shared" si="3"/>
        <v>2.3283673868063895E-3</v>
      </c>
      <c r="L36" s="15">
        <f t="shared" si="4"/>
        <v>2.3117818743455336E-3</v>
      </c>
      <c r="M36" s="15">
        <f t="shared" si="5"/>
        <v>2.3116504644973539E-3</v>
      </c>
      <c r="N36" s="15">
        <f t="shared" si="6"/>
        <v>2.2153234012954734E-3</v>
      </c>
    </row>
    <row r="37" spans="1:14" ht="15" customHeight="1" x14ac:dyDescent="0.25">
      <c r="A37" s="8" t="s">
        <v>31</v>
      </c>
      <c r="B37" s="20">
        <v>298586.15259999997</v>
      </c>
      <c r="C37" s="19">
        <v>180018.84090000001</v>
      </c>
      <c r="D37" s="13">
        <v>221330.4853</v>
      </c>
      <c r="E37" s="21">
        <v>238846.08290000001</v>
      </c>
      <c r="F37" s="21">
        <v>252686.1194</v>
      </c>
      <c r="G37" s="21">
        <v>271260.48269999999</v>
      </c>
      <c r="I37" s="15">
        <f t="shared" si="1"/>
        <v>4.3024902523740704E-3</v>
      </c>
      <c r="J37" s="15">
        <f t="shared" si="2"/>
        <v>2.4384510356107404E-3</v>
      </c>
      <c r="K37" s="15">
        <f t="shared" si="3"/>
        <v>2.9279645556829423E-3</v>
      </c>
      <c r="L37" s="15">
        <f t="shared" si="4"/>
        <v>2.9984730059524757E-3</v>
      </c>
      <c r="M37" s="15">
        <f t="shared" si="5"/>
        <v>3.0371961682946346E-3</v>
      </c>
      <c r="N37" s="15">
        <f t="shared" si="6"/>
        <v>3.128488066359823E-3</v>
      </c>
    </row>
    <row r="38" spans="1:14" ht="15" customHeight="1" x14ac:dyDescent="0.25">
      <c r="A38" s="8" t="s">
        <v>32</v>
      </c>
      <c r="B38" s="20">
        <v>209833.47820000001</v>
      </c>
      <c r="C38" s="19">
        <v>187455.20699999999</v>
      </c>
      <c r="D38" s="13">
        <v>182598.55360000001</v>
      </c>
      <c r="E38" s="21">
        <v>211838.7634</v>
      </c>
      <c r="F38" s="21">
        <v>193650.68359999999</v>
      </c>
      <c r="G38" s="21">
        <v>198396.91209999999</v>
      </c>
      <c r="I38" s="15">
        <f t="shared" si="1"/>
        <v>3.0236047007400541E-3</v>
      </c>
      <c r="J38" s="15">
        <f t="shared" si="2"/>
        <v>2.5391805732917351E-3</v>
      </c>
      <c r="K38" s="15">
        <f t="shared" si="3"/>
        <v>2.4155827071679582E-3</v>
      </c>
      <c r="L38" s="15">
        <f t="shared" si="4"/>
        <v>2.659423198224254E-3</v>
      </c>
      <c r="M38" s="15">
        <f t="shared" si="5"/>
        <v>2.3276114873825417E-3</v>
      </c>
      <c r="N38" s="15">
        <f t="shared" si="6"/>
        <v>2.2881415152310675E-3</v>
      </c>
    </row>
    <row r="39" spans="1:14" ht="15" customHeight="1" x14ac:dyDescent="0.25">
      <c r="A39" s="8" t="s">
        <v>33</v>
      </c>
      <c r="B39" s="20">
        <v>96834.940400000007</v>
      </c>
      <c r="C39" s="19">
        <v>91218.967799999999</v>
      </c>
      <c r="D39" s="13">
        <v>116146.8811</v>
      </c>
      <c r="E39" s="21">
        <v>135133.50099999999</v>
      </c>
      <c r="F39" s="21">
        <v>152400.9135</v>
      </c>
      <c r="G39" s="21">
        <v>119302.27439999999</v>
      </c>
      <c r="I39" s="15">
        <f t="shared" si="1"/>
        <v>1.3953473177919374E-3</v>
      </c>
      <c r="J39" s="15">
        <f t="shared" si="2"/>
        <v>1.235609480581056E-3</v>
      </c>
      <c r="K39" s="15">
        <f t="shared" si="3"/>
        <v>1.5364984658709419E-3</v>
      </c>
      <c r="L39" s="15">
        <f t="shared" si="4"/>
        <v>1.6964655648884911E-3</v>
      </c>
      <c r="M39" s="15">
        <f t="shared" si="5"/>
        <v>1.8318041039447853E-3</v>
      </c>
      <c r="N39" s="15">
        <f t="shared" si="6"/>
        <v>1.3759311272875832E-3</v>
      </c>
    </row>
    <row r="40" spans="1:14" ht="15" customHeight="1" x14ac:dyDescent="0.25">
      <c r="A40" s="8" t="s">
        <v>34</v>
      </c>
      <c r="B40" s="20">
        <v>43740859.388300002</v>
      </c>
      <c r="C40" s="19">
        <v>46040890.615800001</v>
      </c>
      <c r="D40" s="13">
        <v>45907993.509900004</v>
      </c>
      <c r="E40" s="21">
        <v>47457802.206799999</v>
      </c>
      <c r="F40" s="21">
        <v>48755863.213299997</v>
      </c>
      <c r="G40" s="21">
        <v>50178007.315499999</v>
      </c>
      <c r="I40" s="15">
        <f t="shared" si="1"/>
        <v>0.63028583043748831</v>
      </c>
      <c r="J40" s="15">
        <f t="shared" si="2"/>
        <v>0.62364837392161165</v>
      </c>
      <c r="K40" s="15">
        <f t="shared" si="3"/>
        <v>0.60731343735733345</v>
      </c>
      <c r="L40" s="15">
        <f t="shared" si="4"/>
        <v>0.5957851060865007</v>
      </c>
      <c r="M40" s="15">
        <f t="shared" si="5"/>
        <v>0.58602791987525404</v>
      </c>
      <c r="N40" s="15">
        <f t="shared" si="6"/>
        <v>0.57871052767339792</v>
      </c>
    </row>
    <row r="41" spans="1:14" ht="15" customHeight="1" x14ac:dyDescent="0.25">
      <c r="A41" s="8" t="s">
        <v>35</v>
      </c>
      <c r="B41" s="20">
        <v>1137707.1198</v>
      </c>
      <c r="C41" s="19">
        <v>1158586.4436000001</v>
      </c>
      <c r="D41" s="13">
        <v>1198473.3688999999</v>
      </c>
      <c r="E41" s="21">
        <v>1269592.3026999999</v>
      </c>
      <c r="F41" s="21">
        <v>1325366.4043000001</v>
      </c>
      <c r="G41" s="21">
        <v>1385692.7213999999</v>
      </c>
      <c r="I41" s="15">
        <f t="shared" si="1"/>
        <v>1.6393840606378069E-2</v>
      </c>
      <c r="J41" s="15">
        <f t="shared" si="2"/>
        <v>1.5693670168726127E-2</v>
      </c>
      <c r="K41" s="15">
        <f t="shared" si="3"/>
        <v>1.5854515207486094E-2</v>
      </c>
      <c r="L41" s="15">
        <f t="shared" si="4"/>
        <v>1.5938457947434037E-2</v>
      </c>
      <c r="M41" s="15">
        <f t="shared" si="5"/>
        <v>1.5930426943453219E-2</v>
      </c>
      <c r="N41" s="15">
        <f t="shared" si="6"/>
        <v>1.5981403186309254E-2</v>
      </c>
    </row>
    <row r="42" spans="1:14" ht="15" customHeight="1" x14ac:dyDescent="0.25">
      <c r="A42" s="8" t="s">
        <v>36</v>
      </c>
      <c r="B42" s="20">
        <v>596415.25159999996</v>
      </c>
      <c r="C42" s="19">
        <v>690397.05790000001</v>
      </c>
      <c r="D42" s="13">
        <v>680234.59640000004</v>
      </c>
      <c r="E42" s="21">
        <v>710208.00289999996</v>
      </c>
      <c r="F42" s="21">
        <v>787558.6716</v>
      </c>
      <c r="G42" s="21">
        <v>822709.08739999996</v>
      </c>
      <c r="I42" s="15">
        <f t="shared" si="1"/>
        <v>8.5940717077186667E-3</v>
      </c>
      <c r="J42" s="15">
        <f t="shared" si="2"/>
        <v>9.3517956920633818E-3</v>
      </c>
      <c r="K42" s="15">
        <f t="shared" si="3"/>
        <v>8.9987729666288849E-3</v>
      </c>
      <c r="L42" s="15">
        <f t="shared" si="4"/>
        <v>8.9159491311342227E-3</v>
      </c>
      <c r="M42" s="15">
        <f t="shared" si="5"/>
        <v>9.4661716495169392E-3</v>
      </c>
      <c r="N42" s="15">
        <f t="shared" si="6"/>
        <v>9.4884280098520984E-3</v>
      </c>
    </row>
    <row r="43" spans="1:14" ht="15" customHeight="1" x14ac:dyDescent="0.25">
      <c r="A43" s="8" t="s">
        <v>37</v>
      </c>
      <c r="B43" s="20">
        <v>113996.54580000001</v>
      </c>
      <c r="C43" s="19">
        <v>127036.16650000001</v>
      </c>
      <c r="D43" s="13">
        <v>132059.58689999999</v>
      </c>
      <c r="E43" s="21">
        <v>128630.29790000001</v>
      </c>
      <c r="F43" s="21">
        <v>128882.87729999999</v>
      </c>
      <c r="G43" s="21">
        <v>124910.2885</v>
      </c>
      <c r="I43" s="15">
        <f t="shared" si="1"/>
        <v>1.6426382229649799E-3</v>
      </c>
      <c r="J43" s="15">
        <f t="shared" si="2"/>
        <v>1.7207725047736569E-3</v>
      </c>
      <c r="K43" s="15">
        <f t="shared" si="3"/>
        <v>1.7470064693403146E-3</v>
      </c>
      <c r="L43" s="15">
        <f t="shared" si="4"/>
        <v>1.614824372741578E-3</v>
      </c>
      <c r="M43" s="15">
        <f t="shared" si="5"/>
        <v>1.5491257771650575E-3</v>
      </c>
      <c r="N43" s="15">
        <f t="shared" si="6"/>
        <v>1.4406091998663711E-3</v>
      </c>
    </row>
    <row r="44" spans="1:14" ht="15" customHeight="1" x14ac:dyDescent="0.25">
      <c r="A44" s="8" t="s">
        <v>38</v>
      </c>
      <c r="B44" s="20">
        <v>20296.815500000001</v>
      </c>
      <c r="C44" s="19">
        <v>20941.8652</v>
      </c>
      <c r="D44" s="13">
        <v>22670.478800000001</v>
      </c>
      <c r="E44" s="21">
        <v>20593.3822</v>
      </c>
      <c r="F44" s="21">
        <v>20816.865000000002</v>
      </c>
      <c r="G44" s="21">
        <v>21241.665000000001</v>
      </c>
      <c r="I44" s="15">
        <f t="shared" si="1"/>
        <v>2.924678525195108E-4</v>
      </c>
      <c r="J44" s="15">
        <f t="shared" si="2"/>
        <v>2.8366871283727125E-4</v>
      </c>
      <c r="K44" s="15">
        <f t="shared" si="3"/>
        <v>2.9990608070456153E-4</v>
      </c>
      <c r="L44" s="15">
        <f t="shared" si="4"/>
        <v>2.5852925816587552E-4</v>
      </c>
      <c r="M44" s="15">
        <f t="shared" si="5"/>
        <v>2.5021122158998455E-4</v>
      </c>
      <c r="N44" s="15">
        <f t="shared" si="6"/>
        <v>2.4498332672956321E-4</v>
      </c>
    </row>
    <row r="45" spans="1:14" ht="15" customHeight="1" x14ac:dyDescent="0.25">
      <c r="A45" s="8" t="s">
        <v>39</v>
      </c>
      <c r="B45" s="20">
        <v>1780087.4484000001</v>
      </c>
      <c r="C45" s="19">
        <v>2035481.5009000001</v>
      </c>
      <c r="D45" s="13">
        <v>1854616.6412</v>
      </c>
      <c r="E45" s="21">
        <v>1998361.4291999999</v>
      </c>
      <c r="F45" s="21">
        <v>2078485.3589000001</v>
      </c>
      <c r="G45" s="21">
        <v>2085735.8404999999</v>
      </c>
      <c r="I45" s="15">
        <f t="shared" si="1"/>
        <v>2.5650248105693406E-2</v>
      </c>
      <c r="J45" s="15">
        <f t="shared" si="2"/>
        <v>2.7571680547556002E-2</v>
      </c>
      <c r="K45" s="15">
        <f t="shared" si="3"/>
        <v>2.453458583643809E-2</v>
      </c>
      <c r="L45" s="15">
        <f t="shared" si="4"/>
        <v>2.5087423368385538E-2</v>
      </c>
      <c r="M45" s="15">
        <f t="shared" si="5"/>
        <v>2.498264559563923E-2</v>
      </c>
      <c r="N45" s="15">
        <f t="shared" si="6"/>
        <v>2.4055106079715109E-2</v>
      </c>
    </row>
    <row r="46" spans="1:14" ht="15" customHeight="1" x14ac:dyDescent="0.25">
      <c r="A46" s="8" t="s">
        <v>40</v>
      </c>
      <c r="B46" s="20">
        <v>101484.2065</v>
      </c>
      <c r="C46" s="19">
        <v>116610.879</v>
      </c>
      <c r="D46" s="13">
        <v>113445.8894</v>
      </c>
      <c r="E46" s="21">
        <v>123320.95080000001</v>
      </c>
      <c r="F46" s="21">
        <v>134657.38010000001</v>
      </c>
      <c r="G46" s="21">
        <v>136543.76800000001</v>
      </c>
      <c r="I46" s="15">
        <f t="shared" si="1"/>
        <v>1.4623411214287078E-3</v>
      </c>
      <c r="J46" s="15">
        <f t="shared" si="2"/>
        <v>1.5795564355343471E-3</v>
      </c>
      <c r="K46" s="15">
        <f t="shared" si="3"/>
        <v>1.5007672472271366E-3</v>
      </c>
      <c r="L46" s="15">
        <f t="shared" si="4"/>
        <v>1.5481708452259209E-3</v>
      </c>
      <c r="M46" s="15">
        <f t="shared" si="5"/>
        <v>1.6185332215455052E-3</v>
      </c>
      <c r="N46" s="15">
        <f t="shared" si="6"/>
        <v>1.5747798738389707E-3</v>
      </c>
    </row>
    <row r="47" spans="1:14" ht="15" customHeight="1" x14ac:dyDescent="0.25">
      <c r="A47" s="8" t="s">
        <v>41</v>
      </c>
      <c r="B47" s="20">
        <v>96164.366699999999</v>
      </c>
      <c r="C47" s="19">
        <v>102984.0468</v>
      </c>
      <c r="D47" s="13">
        <v>89636.811499999996</v>
      </c>
      <c r="E47" s="21">
        <v>91442.360100000005</v>
      </c>
      <c r="F47" s="21">
        <v>96862.75</v>
      </c>
      <c r="G47" s="21">
        <v>97305.8321</v>
      </c>
      <c r="I47" s="15">
        <f t="shared" si="1"/>
        <v>1.3856846566717698E-3</v>
      </c>
      <c r="J47" s="15">
        <f t="shared" si="2"/>
        <v>1.3949737389451491E-3</v>
      </c>
      <c r="K47" s="15">
        <f t="shared" si="3"/>
        <v>1.1857987235725505E-3</v>
      </c>
      <c r="L47" s="15">
        <f t="shared" si="4"/>
        <v>1.1479671135123134E-3</v>
      </c>
      <c r="M47" s="15">
        <f t="shared" si="5"/>
        <v>1.1642553767853745E-3</v>
      </c>
      <c r="N47" s="15">
        <f t="shared" si="6"/>
        <v>1.1222428400996965E-3</v>
      </c>
    </row>
    <row r="48" spans="1:14" ht="15" customHeight="1" x14ac:dyDescent="0.25">
      <c r="A48" s="8" t="s">
        <v>42</v>
      </c>
      <c r="B48" s="20">
        <v>600194.57960000006</v>
      </c>
      <c r="C48" s="19">
        <v>718482.57810000004</v>
      </c>
      <c r="D48" s="13">
        <v>661662.63450000004</v>
      </c>
      <c r="E48" s="21">
        <v>716720.24309999996</v>
      </c>
      <c r="F48" s="21">
        <v>749160.70310000004</v>
      </c>
      <c r="G48" s="21">
        <v>732509.72889999999</v>
      </c>
      <c r="I48" s="15">
        <f t="shared" si="1"/>
        <v>8.6485301001756956E-3</v>
      </c>
      <c r="J48" s="15">
        <f t="shared" si="2"/>
        <v>9.7322290149031813E-3</v>
      </c>
      <c r="K48" s="15">
        <f t="shared" si="3"/>
        <v>8.7530858616691326E-3</v>
      </c>
      <c r="L48" s="15">
        <f t="shared" si="4"/>
        <v>8.9977037750073405E-3</v>
      </c>
      <c r="M48" s="15">
        <f t="shared" si="5"/>
        <v>9.004641894438125E-3</v>
      </c>
      <c r="N48" s="15">
        <f t="shared" si="6"/>
        <v>8.4481452017858526E-3</v>
      </c>
    </row>
    <row r="49" spans="1:14" ht="15" customHeight="1" x14ac:dyDescent="0.25">
      <c r="A49" s="8" t="s">
        <v>43</v>
      </c>
      <c r="B49" s="20">
        <v>89522.608999999997</v>
      </c>
      <c r="C49" s="19">
        <v>104279.76549999999</v>
      </c>
      <c r="D49" s="13">
        <v>99163.249299999996</v>
      </c>
      <c r="E49" s="21">
        <v>108927.59080000001</v>
      </c>
      <c r="F49" s="21">
        <v>113787.489</v>
      </c>
      <c r="G49" s="21">
        <v>114910.06269999999</v>
      </c>
      <c r="I49" s="15">
        <f t="shared" si="1"/>
        <v>1.2899799579975406E-3</v>
      </c>
      <c r="J49" s="15">
        <f t="shared" si="2"/>
        <v>1.4125249385311431E-3</v>
      </c>
      <c r="K49" s="15">
        <f t="shared" si="3"/>
        <v>1.3118232618665449E-3</v>
      </c>
      <c r="L49" s="15">
        <f t="shared" si="4"/>
        <v>1.3674766471007394E-3</v>
      </c>
      <c r="M49" s="15">
        <f t="shared" si="5"/>
        <v>1.3676846453270907E-3</v>
      </c>
      <c r="N49" s="15">
        <f t="shared" si="6"/>
        <v>1.3252750871906084E-3</v>
      </c>
    </row>
    <row r="50" spans="1:14" ht="15" customHeight="1" x14ac:dyDescent="0.25">
      <c r="A50" s="8" t="s">
        <v>44</v>
      </c>
      <c r="B50" s="20">
        <v>1629260.8643</v>
      </c>
      <c r="C50" s="19">
        <v>1672164.7146000001</v>
      </c>
      <c r="D50" s="13">
        <v>1739302.5800999999</v>
      </c>
      <c r="E50" s="21">
        <v>1845490.314</v>
      </c>
      <c r="F50" s="21">
        <v>1811515.6428</v>
      </c>
      <c r="G50" s="21">
        <v>1669772.8747</v>
      </c>
      <c r="I50" s="15">
        <f t="shared" si="1"/>
        <v>2.3476905831651428E-2</v>
      </c>
      <c r="J50" s="15">
        <f t="shared" si="2"/>
        <v>2.2650361260203557E-2</v>
      </c>
      <c r="K50" s="15">
        <f t="shared" si="3"/>
        <v>2.3009104684508147E-2</v>
      </c>
      <c r="L50" s="15">
        <f t="shared" si="4"/>
        <v>2.3168279848209135E-2</v>
      </c>
      <c r="M50" s="15">
        <f t="shared" si="5"/>
        <v>2.1773765738229749E-2</v>
      </c>
      <c r="N50" s="15">
        <f t="shared" si="6"/>
        <v>1.9257742447533754E-2</v>
      </c>
    </row>
    <row r="51" spans="1:14" ht="15" customHeight="1" x14ac:dyDescent="0.25">
      <c r="A51" s="8" t="s">
        <v>45</v>
      </c>
      <c r="B51" s="20">
        <v>81910.342699999994</v>
      </c>
      <c r="C51" s="19">
        <v>89309.502999999997</v>
      </c>
      <c r="D51" s="13">
        <v>87402.359800000006</v>
      </c>
      <c r="E51" s="21">
        <v>94442.272599999997</v>
      </c>
      <c r="F51" s="21">
        <v>98905.405100000004</v>
      </c>
      <c r="G51" s="21">
        <v>96429.5147</v>
      </c>
      <c r="I51" s="15">
        <f t="shared" si="1"/>
        <v>1.1802906731159962E-3</v>
      </c>
      <c r="J51" s="15">
        <f t="shared" si="2"/>
        <v>1.2097447633339945E-3</v>
      </c>
      <c r="K51" s="15">
        <f t="shared" si="3"/>
        <v>1.1562393279469653E-3</v>
      </c>
      <c r="L51" s="15">
        <f t="shared" si="4"/>
        <v>1.1856280060094932E-3</v>
      </c>
      <c r="M51" s="15">
        <f t="shared" si="5"/>
        <v>1.1888073555707493E-3</v>
      </c>
      <c r="N51" s="15">
        <f t="shared" si="6"/>
        <v>1.1121361393338666E-3</v>
      </c>
    </row>
    <row r="52" spans="1:14" ht="15" customHeight="1" x14ac:dyDescent="0.25">
      <c r="A52" s="8" t="s">
        <v>46</v>
      </c>
      <c r="B52" s="20">
        <v>54829.2045</v>
      </c>
      <c r="C52" s="19">
        <v>64831.925199999998</v>
      </c>
      <c r="D52" s="13">
        <v>61934.625099999997</v>
      </c>
      <c r="E52" s="21">
        <v>65843.446500000005</v>
      </c>
      <c r="F52" s="21">
        <v>74813.518500000006</v>
      </c>
      <c r="G52" s="21">
        <v>75337.651100000003</v>
      </c>
      <c r="I52" s="15">
        <f t="shared" si="1"/>
        <v>7.9006382530639346E-4</v>
      </c>
      <c r="J52" s="15">
        <f t="shared" si="2"/>
        <v>8.7818294104224535E-4</v>
      </c>
      <c r="K52" s="15">
        <f t="shared" si="3"/>
        <v>8.1932855664465986E-4</v>
      </c>
      <c r="L52" s="15">
        <f t="shared" si="4"/>
        <v>8.2659842921428976E-4</v>
      </c>
      <c r="M52" s="15">
        <f t="shared" si="5"/>
        <v>8.9923155361433668E-4</v>
      </c>
      <c r="N52" s="15">
        <f t="shared" si="6"/>
        <v>8.6888049474789938E-4</v>
      </c>
    </row>
    <row r="53" spans="1:14" ht="15" customHeight="1" x14ac:dyDescent="0.25">
      <c r="A53" s="8" t="s">
        <v>47</v>
      </c>
      <c r="B53" s="20">
        <v>16867.769</v>
      </c>
      <c r="C53" s="19">
        <v>21563.657200000001</v>
      </c>
      <c r="D53" s="13">
        <v>20167.4653</v>
      </c>
      <c r="E53" s="21">
        <v>20369.957999999999</v>
      </c>
      <c r="F53" s="21">
        <v>22158.621299999999</v>
      </c>
      <c r="G53" s="21">
        <v>22856.1286</v>
      </c>
      <c r="I53" s="15">
        <f t="shared" si="1"/>
        <v>2.4305685668893115E-4</v>
      </c>
      <c r="J53" s="15">
        <f t="shared" si="2"/>
        <v>2.9209121649718944E-4</v>
      </c>
      <c r="K53" s="15">
        <f t="shared" si="3"/>
        <v>2.6679390096817206E-4</v>
      </c>
      <c r="L53" s="15">
        <f t="shared" si="4"/>
        <v>2.557243914314396E-4</v>
      </c>
      <c r="M53" s="15">
        <f t="shared" si="5"/>
        <v>2.663386491780991E-4</v>
      </c>
      <c r="N53" s="15">
        <f t="shared" si="6"/>
        <v>2.6360317896863142E-4</v>
      </c>
    </row>
    <row r="54" spans="1:14" ht="15" customHeight="1" x14ac:dyDescent="0.25">
      <c r="A54" s="8" t="s">
        <v>48</v>
      </c>
      <c r="B54" s="20">
        <v>1498042.0051</v>
      </c>
      <c r="C54" s="19">
        <v>1686346.8285999999</v>
      </c>
      <c r="D54" s="13">
        <v>1785934.7822</v>
      </c>
      <c r="E54" s="21">
        <v>2019883.6221</v>
      </c>
      <c r="F54" s="21">
        <v>2188101.6102</v>
      </c>
      <c r="G54" s="21">
        <v>2341346.5181</v>
      </c>
      <c r="I54" s="15">
        <f t="shared" si="1"/>
        <v>2.1586101928926685E-2</v>
      </c>
      <c r="J54" s="15">
        <f t="shared" si="2"/>
        <v>2.2842465544386011E-2</v>
      </c>
      <c r="K54" s="15">
        <f t="shared" si="3"/>
        <v>2.3625998623529588E-2</v>
      </c>
      <c r="L54" s="15">
        <f t="shared" si="4"/>
        <v>2.5357612913284089E-2</v>
      </c>
      <c r="M54" s="15">
        <f t="shared" si="5"/>
        <v>2.6300193465786232E-2</v>
      </c>
      <c r="N54" s="15">
        <f t="shared" si="6"/>
        <v>2.7003102583098709E-2</v>
      </c>
    </row>
    <row r="55" spans="1:14" ht="15" customHeight="1" x14ac:dyDescent="0.25">
      <c r="A55" s="8" t="s">
        <v>49</v>
      </c>
      <c r="B55" s="20">
        <v>168666.34359999999</v>
      </c>
      <c r="C55" s="19">
        <v>160546.00260000001</v>
      </c>
      <c r="D55" s="13">
        <v>175069.74780000001</v>
      </c>
      <c r="E55" s="21">
        <v>263536.77889999998</v>
      </c>
      <c r="F55" s="21">
        <v>253751.1409</v>
      </c>
      <c r="G55" s="21">
        <v>219585.57180000001</v>
      </c>
      <c r="I55" s="15">
        <f t="shared" si="1"/>
        <v>2.4304050704412193E-3</v>
      </c>
      <c r="J55" s="15">
        <f t="shared" si="2"/>
        <v>2.1746810741915769E-3</v>
      </c>
      <c r="K55" s="15">
        <f t="shared" si="3"/>
        <v>2.3159846942727136E-3</v>
      </c>
      <c r="L55" s="15">
        <f t="shared" si="4"/>
        <v>3.308439929233254E-3</v>
      </c>
      <c r="M55" s="15">
        <f t="shared" si="5"/>
        <v>3.0499973432330605E-3</v>
      </c>
      <c r="N55" s="15">
        <f t="shared" si="6"/>
        <v>2.5325135238399325E-3</v>
      </c>
    </row>
    <row r="56" spans="1:14" s="25" customFormat="1" ht="15" customHeight="1" x14ac:dyDescent="0.25">
      <c r="A56" s="22" t="s">
        <v>50</v>
      </c>
      <c r="B56" s="23">
        <v>6668238.2061999999</v>
      </c>
      <c r="C56" s="24">
        <v>7352493.0510999998</v>
      </c>
      <c r="D56" s="16">
        <v>8027547.3081999999</v>
      </c>
      <c r="E56" s="27">
        <v>8555415.8253000006</v>
      </c>
      <c r="F56" s="27">
        <v>9342214.4069999997</v>
      </c>
      <c r="G56" s="27">
        <v>10199851.0262</v>
      </c>
      <c r="I56" s="15">
        <f t="shared" si="1"/>
        <v>9.6086270688910236E-2</v>
      </c>
      <c r="J56" s="15">
        <f t="shared" si="2"/>
        <v>9.9593432582620114E-2</v>
      </c>
      <c r="K56" s="15">
        <f t="shared" si="3"/>
        <v>0.10619582727439858</v>
      </c>
      <c r="L56" s="15">
        <f t="shared" si="4"/>
        <v>0.10740466452448015</v>
      </c>
      <c r="M56" s="15">
        <f t="shared" si="5"/>
        <v>0.1122900532395739</v>
      </c>
      <c r="N56" s="15">
        <f t="shared" si="6"/>
        <v>0.11763642052279918</v>
      </c>
    </row>
    <row r="57" spans="1:14" ht="15" customHeight="1" x14ac:dyDescent="0.25">
      <c r="A57" s="8" t="s">
        <v>51</v>
      </c>
      <c r="B57" s="20">
        <v>617042.36529999995</v>
      </c>
      <c r="C57" s="19">
        <v>727235.40899999999</v>
      </c>
      <c r="D57" s="13">
        <v>869138.61479999998</v>
      </c>
      <c r="E57" s="21">
        <v>963360.73479999998</v>
      </c>
      <c r="F57" s="21">
        <v>1025222.0695</v>
      </c>
      <c r="G57" s="21">
        <v>1049806.9406000001</v>
      </c>
      <c r="I57" s="15">
        <f t="shared" si="1"/>
        <v>8.8912990066274435E-3</v>
      </c>
      <c r="J57" s="15">
        <f t="shared" si="2"/>
        <v>9.850790769139155E-3</v>
      </c>
      <c r="K57" s="15">
        <f t="shared" si="3"/>
        <v>1.1497770199439265E-2</v>
      </c>
      <c r="L57" s="15">
        <f t="shared" si="4"/>
        <v>1.2094027765578825E-2</v>
      </c>
      <c r="M57" s="15">
        <f t="shared" si="5"/>
        <v>1.232280011474384E-2</v>
      </c>
      <c r="N57" s="15">
        <f t="shared" si="6"/>
        <v>1.2107581808298596E-2</v>
      </c>
    </row>
    <row r="58" spans="1:14" ht="15" customHeight="1" x14ac:dyDescent="0.25">
      <c r="A58" s="8" t="s">
        <v>52</v>
      </c>
      <c r="B58" s="20">
        <v>294614.24790000002</v>
      </c>
      <c r="C58" s="19">
        <v>266242.89649999997</v>
      </c>
      <c r="D58" s="13">
        <v>321635.71639999998</v>
      </c>
      <c r="E58" s="21">
        <v>460212.48499999999</v>
      </c>
      <c r="F58" s="21">
        <v>446224.89850000001</v>
      </c>
      <c r="G58" s="21">
        <v>484697.43310000002</v>
      </c>
      <c r="I58" s="15">
        <f t="shared" si="1"/>
        <v>4.2452569175181103E-3</v>
      </c>
      <c r="J58" s="15">
        <f t="shared" si="2"/>
        <v>3.6064017713294144E-3</v>
      </c>
      <c r="K58" s="15">
        <f t="shared" si="3"/>
        <v>4.2548950099866372E-3</v>
      </c>
      <c r="L58" s="15">
        <f t="shared" si="4"/>
        <v>5.7775061517444234E-3</v>
      </c>
      <c r="M58" s="15">
        <f t="shared" si="5"/>
        <v>5.3634626038816056E-3</v>
      </c>
      <c r="N58" s="15">
        <f t="shared" si="6"/>
        <v>5.5900886120799813E-3</v>
      </c>
    </row>
    <row r="59" spans="1:14" ht="15" customHeight="1" x14ac:dyDescent="0.25">
      <c r="A59" s="8" t="s">
        <v>53</v>
      </c>
      <c r="B59" s="20">
        <v>17.8249</v>
      </c>
      <c r="C59" s="19">
        <v>10.116</v>
      </c>
      <c r="D59" s="13">
        <v>31.3033</v>
      </c>
      <c r="E59" s="21">
        <v>124.1079</v>
      </c>
      <c r="F59" s="21">
        <v>174.11269999999999</v>
      </c>
      <c r="G59" s="21">
        <v>140.29130000000001</v>
      </c>
      <c r="I59" s="15">
        <f t="shared" si="1"/>
        <v>2.5684867778273038E-7</v>
      </c>
      <c r="J59" s="15">
        <f t="shared" si="2"/>
        <v>1.370266053981589E-7</v>
      </c>
      <c r="K59" s="15">
        <f t="shared" si="3"/>
        <v>4.1410903135045832E-7</v>
      </c>
      <c r="L59" s="15">
        <f t="shared" si="4"/>
        <v>1.5580502031145066E-6</v>
      </c>
      <c r="M59" s="15">
        <f t="shared" si="5"/>
        <v>2.0927719597225853E-6</v>
      </c>
      <c r="N59" s="15">
        <f t="shared" si="6"/>
        <v>1.6180007257065381E-6</v>
      </c>
    </row>
    <row r="60" spans="1:14" ht="15" customHeight="1" x14ac:dyDescent="0.25">
      <c r="A60" s="8" t="s">
        <v>54</v>
      </c>
      <c r="B60" s="20">
        <v>833371.35129999998</v>
      </c>
      <c r="C60" s="19">
        <v>939714.81929999997</v>
      </c>
      <c r="D60" s="13">
        <v>901814.52280000004</v>
      </c>
      <c r="E60" s="21">
        <v>946175.85620000004</v>
      </c>
      <c r="F60" s="21">
        <v>777498.61789999995</v>
      </c>
      <c r="G60" s="21">
        <v>841263.28810000001</v>
      </c>
      <c r="I60" s="15">
        <f t="shared" si="1"/>
        <v>1.2008501011697811E-2</v>
      </c>
      <c r="J60" s="15">
        <f t="shared" si="2"/>
        <v>1.272893749812409E-2</v>
      </c>
      <c r="K60" s="15">
        <f t="shared" si="3"/>
        <v>1.1930037360102091E-2</v>
      </c>
      <c r="L60" s="15">
        <f t="shared" si="4"/>
        <v>1.1878288851349932E-2</v>
      </c>
      <c r="M60" s="15">
        <f t="shared" si="5"/>
        <v>9.3452534264541563E-3</v>
      </c>
      <c r="N60" s="15">
        <f t="shared" si="6"/>
        <v>9.7024164054083789E-3</v>
      </c>
    </row>
    <row r="61" spans="1:14" ht="15" customHeight="1" x14ac:dyDescent="0.25">
      <c r="A61" s="8" t="s">
        <v>55</v>
      </c>
      <c r="B61" s="20">
        <v>508706.03360000002</v>
      </c>
      <c r="C61" s="19">
        <v>557187.22470000002</v>
      </c>
      <c r="D61" s="13">
        <v>620413.30130000005</v>
      </c>
      <c r="E61" s="21">
        <v>696029.82880000002</v>
      </c>
      <c r="F61" s="21">
        <v>772692.93469999998</v>
      </c>
      <c r="G61" s="21">
        <v>803582.93050000002</v>
      </c>
      <c r="I61" s="15">
        <f t="shared" si="1"/>
        <v>7.3302218868132353E-3</v>
      </c>
      <c r="J61" s="15">
        <f t="shared" si="2"/>
        <v>7.5473975851979239E-3</v>
      </c>
      <c r="K61" s="15">
        <f t="shared" si="3"/>
        <v>8.2074014956341045E-3</v>
      </c>
      <c r="L61" s="15">
        <f t="shared" si="4"/>
        <v>8.7379563761500693E-3</v>
      </c>
      <c r="M61" s="15">
        <f t="shared" si="5"/>
        <v>9.287490844814391E-3</v>
      </c>
      <c r="N61" s="15">
        <f t="shared" si="6"/>
        <v>9.2678431571621804E-3</v>
      </c>
    </row>
    <row r="62" spans="1:14" ht="15" customHeight="1" x14ac:dyDescent="0.25">
      <c r="A62" s="8" t="s">
        <v>56</v>
      </c>
      <c r="B62" s="20">
        <v>34085.810100000002</v>
      </c>
      <c r="C62" s="19">
        <v>38330.912600000003</v>
      </c>
      <c r="D62" s="13">
        <v>40803.447800000002</v>
      </c>
      <c r="E62" s="21">
        <v>44471.4899</v>
      </c>
      <c r="F62" s="21">
        <v>45794.3747</v>
      </c>
      <c r="G62" s="21">
        <v>37629.383600000001</v>
      </c>
      <c r="I62" s="15">
        <f t="shared" si="1"/>
        <v>4.911609745545971E-4</v>
      </c>
      <c r="J62" s="15">
        <f t="shared" si="2"/>
        <v>5.1921261717986528E-4</v>
      </c>
      <c r="K62" s="15">
        <f t="shared" si="3"/>
        <v>5.3978578118655195E-4</v>
      </c>
      <c r="L62" s="15">
        <f t="shared" si="4"/>
        <v>5.5829495037382573E-4</v>
      </c>
      <c r="M62" s="15">
        <f t="shared" si="5"/>
        <v>5.5043189431436875E-4</v>
      </c>
      <c r="N62" s="15">
        <f t="shared" si="6"/>
        <v>4.3398535741481976E-4</v>
      </c>
    </row>
    <row r="63" spans="1:14" ht="15" customHeight="1" x14ac:dyDescent="0.25">
      <c r="A63" s="8" t="s">
        <v>57</v>
      </c>
      <c r="B63" s="20">
        <v>102606.5748</v>
      </c>
      <c r="C63" s="19">
        <v>108651.003</v>
      </c>
      <c r="D63" s="13">
        <v>111141.1266</v>
      </c>
      <c r="E63" s="21">
        <v>128145.53720000001</v>
      </c>
      <c r="F63" s="21">
        <v>144218.5301</v>
      </c>
      <c r="G63" s="21">
        <v>154529.4227</v>
      </c>
      <c r="I63" s="15">
        <f t="shared" si="1"/>
        <v>1.4785139366389054E-3</v>
      </c>
      <c r="J63" s="15">
        <f t="shared" si="2"/>
        <v>1.4717356775598238E-3</v>
      </c>
      <c r="K63" s="15">
        <f t="shared" si="3"/>
        <v>1.4702777112804292E-3</v>
      </c>
      <c r="L63" s="15">
        <f t="shared" si="4"/>
        <v>1.608738688372598E-3</v>
      </c>
      <c r="M63" s="15">
        <f t="shared" si="5"/>
        <v>1.7334548017788919E-3</v>
      </c>
      <c r="N63" s="15">
        <f t="shared" si="6"/>
        <v>1.782211142612638E-3</v>
      </c>
    </row>
    <row r="64" spans="1:14" ht="15" customHeight="1" x14ac:dyDescent="0.25">
      <c r="A64" s="8" t="s">
        <v>58</v>
      </c>
      <c r="B64" s="20">
        <v>200182.2801</v>
      </c>
      <c r="C64" s="19">
        <v>241042.4094</v>
      </c>
      <c r="D64" s="13">
        <v>233826.6918</v>
      </c>
      <c r="E64" s="21">
        <v>247752.03709999999</v>
      </c>
      <c r="F64" s="21">
        <v>263556.25709999999</v>
      </c>
      <c r="G64" s="21">
        <v>291890.37339999998</v>
      </c>
      <c r="I64" s="15">
        <f t="shared" si="1"/>
        <v>2.8845353387237618E-3</v>
      </c>
      <c r="J64" s="15">
        <f t="shared" si="2"/>
        <v>3.2650477577179978E-3</v>
      </c>
      <c r="K64" s="15">
        <f t="shared" si="3"/>
        <v>3.0932759435963668E-3</v>
      </c>
      <c r="L64" s="15">
        <f t="shared" si="4"/>
        <v>3.1102783281780431E-3</v>
      </c>
      <c r="M64" s="15">
        <f t="shared" si="5"/>
        <v>3.1678513093434113E-3</v>
      </c>
      <c r="N64" s="15">
        <f t="shared" si="6"/>
        <v>3.3664157078019262E-3</v>
      </c>
    </row>
    <row r="65" spans="1:14" ht="15" customHeight="1" x14ac:dyDescent="0.25">
      <c r="A65" s="8" t="s">
        <v>59</v>
      </c>
      <c r="B65" s="20">
        <v>1834797.1364</v>
      </c>
      <c r="C65" s="19">
        <v>1984247.3289999999</v>
      </c>
      <c r="D65" s="13">
        <v>1897424.4187</v>
      </c>
      <c r="E65" s="21">
        <v>2095969.9305</v>
      </c>
      <c r="F65" s="21">
        <v>2182576.4701999999</v>
      </c>
      <c r="G65" s="21">
        <v>2205378.9682999998</v>
      </c>
      <c r="I65" s="15">
        <f t="shared" si="1"/>
        <v>2.6438589752754857E-2</v>
      </c>
      <c r="J65" s="15">
        <f t="shared" si="2"/>
        <v>2.6877686413921881E-2</v>
      </c>
      <c r="K65" s="15">
        <f t="shared" si="3"/>
        <v>2.5100886746399372E-2</v>
      </c>
      <c r="L65" s="15">
        <f t="shared" si="4"/>
        <v>2.6312800199966506E-2</v>
      </c>
      <c r="M65" s="15">
        <f t="shared" si="5"/>
        <v>2.6233783272471545E-2</v>
      </c>
      <c r="N65" s="15">
        <f t="shared" si="6"/>
        <v>2.5434968320682295E-2</v>
      </c>
    </row>
    <row r="66" spans="1:14" ht="15" customHeight="1" x14ac:dyDescent="0.25">
      <c r="A66" s="8" t="s">
        <v>60</v>
      </c>
      <c r="B66" s="20">
        <v>953812.35600000003</v>
      </c>
      <c r="C66" s="19">
        <v>996863.03460000001</v>
      </c>
      <c r="D66" s="13">
        <v>908245.38589999999</v>
      </c>
      <c r="E66" s="21">
        <v>1017071.191</v>
      </c>
      <c r="F66" s="21">
        <v>1045514.661</v>
      </c>
      <c r="G66" s="21">
        <v>1026284.2666</v>
      </c>
      <c r="I66" s="15">
        <f t="shared" si="1"/>
        <v>1.3744000947631176E-2</v>
      </c>
      <c r="J66" s="15">
        <f t="shared" si="2"/>
        <v>1.350304049803731E-2</v>
      </c>
      <c r="K66" s="15">
        <f t="shared" si="3"/>
        <v>1.201511077054407E-2</v>
      </c>
      <c r="L66" s="15">
        <f t="shared" si="4"/>
        <v>1.2768308671079464E-2</v>
      </c>
      <c r="M66" s="15">
        <f t="shared" si="5"/>
        <v>1.2566709757643553E-2</v>
      </c>
      <c r="N66" s="15">
        <f t="shared" si="6"/>
        <v>1.1836291260684036E-2</v>
      </c>
    </row>
    <row r="67" spans="1:14" ht="15" customHeight="1" x14ac:dyDescent="0.25">
      <c r="A67" s="8" t="s">
        <v>61</v>
      </c>
      <c r="B67" s="20">
        <v>880984.78040000005</v>
      </c>
      <c r="C67" s="19">
        <v>987384.29440000001</v>
      </c>
      <c r="D67" s="13">
        <v>989179.03280000004</v>
      </c>
      <c r="E67" s="21">
        <v>1078898.7394999999</v>
      </c>
      <c r="F67" s="21">
        <v>1137061.8092</v>
      </c>
      <c r="G67" s="21">
        <v>1179094.7017000001</v>
      </c>
      <c r="I67" s="15">
        <f t="shared" si="1"/>
        <v>1.2694588805123681E-2</v>
      </c>
      <c r="J67" s="15">
        <f t="shared" si="2"/>
        <v>1.3374645915884574E-2</v>
      </c>
      <c r="K67" s="15">
        <f t="shared" si="3"/>
        <v>1.3085775975855302E-2</v>
      </c>
      <c r="L67" s="15">
        <f t="shared" si="4"/>
        <v>1.3544491528887041E-2</v>
      </c>
      <c r="M67" s="15">
        <f t="shared" si="5"/>
        <v>1.3667073514827996E-2</v>
      </c>
      <c r="N67" s="15">
        <f t="shared" si="6"/>
        <v>1.3598677059998262E-2</v>
      </c>
    </row>
    <row r="68" spans="1:14" s="25" customFormat="1" ht="15" customHeight="1" x14ac:dyDescent="0.25">
      <c r="A68" s="22" t="s">
        <v>62</v>
      </c>
      <c r="B68" s="23">
        <v>3170838.4966000002</v>
      </c>
      <c r="C68" s="24">
        <v>3297973.8317</v>
      </c>
      <c r="D68" s="16">
        <v>2974723.7278999998</v>
      </c>
      <c r="E68" s="27">
        <v>3031498.5303000002</v>
      </c>
      <c r="F68" s="27">
        <v>2806393.8223999999</v>
      </c>
      <c r="G68" s="27">
        <v>2665822.6312000002</v>
      </c>
      <c r="I68" s="15">
        <f t="shared" si="1"/>
        <v>4.5690336288803347E-2</v>
      </c>
      <c r="J68" s="15">
        <f t="shared" si="2"/>
        <v>4.467281127420028E-2</v>
      </c>
      <c r="K68" s="15">
        <f t="shared" si="3"/>
        <v>3.9352399315595907E-2</v>
      </c>
      <c r="L68" s="15">
        <f t="shared" si="4"/>
        <v>3.8057423426512277E-2</v>
      </c>
      <c r="M68" s="15">
        <f t="shared" si="5"/>
        <v>3.3731843222564492E-2</v>
      </c>
      <c r="N68" s="15">
        <f t="shared" si="6"/>
        <v>3.0745334542387967E-2</v>
      </c>
    </row>
    <row r="69" spans="1:14" ht="15" customHeight="1" x14ac:dyDescent="0.25">
      <c r="A69" s="8" t="s">
        <v>63</v>
      </c>
      <c r="B69" s="20">
        <v>872781.28700000001</v>
      </c>
      <c r="C69" s="19">
        <v>857516.19180000003</v>
      </c>
      <c r="D69" s="13">
        <v>687237.34400000004</v>
      </c>
      <c r="E69" s="21">
        <v>653132.06460000004</v>
      </c>
      <c r="F69" s="21">
        <v>552153.14670000004</v>
      </c>
      <c r="G69" s="21">
        <v>490753.66100000002</v>
      </c>
      <c r="I69" s="15">
        <f t="shared" si="1"/>
        <v>1.2576380207432286E-2</v>
      </c>
      <c r="J69" s="15">
        <f t="shared" si="2"/>
        <v>1.1615513329014487E-2</v>
      </c>
      <c r="K69" s="15">
        <f t="shared" si="3"/>
        <v>9.091411794657488E-3</v>
      </c>
      <c r="L69" s="15">
        <f t="shared" si="4"/>
        <v>8.1994179734781354E-3</v>
      </c>
      <c r="M69" s="15">
        <f t="shared" si="5"/>
        <v>6.6366820047380308E-3</v>
      </c>
      <c r="N69" s="15">
        <f t="shared" si="6"/>
        <v>5.6599360020267858E-3</v>
      </c>
    </row>
    <row r="70" spans="1:14" ht="15" customHeight="1" x14ac:dyDescent="0.25">
      <c r="A70" s="8" t="s">
        <v>64</v>
      </c>
      <c r="B70" s="20">
        <v>184800.07579999999</v>
      </c>
      <c r="C70" s="19">
        <v>181880.4161</v>
      </c>
      <c r="D70" s="13">
        <v>197163.0889</v>
      </c>
      <c r="E70" s="21">
        <v>210972.47159999999</v>
      </c>
      <c r="F70" s="21">
        <v>185929.7439</v>
      </c>
      <c r="G70" s="21">
        <v>186928.08559999999</v>
      </c>
      <c r="I70" s="15">
        <f t="shared" si="1"/>
        <v>2.6628847916890614E-3</v>
      </c>
      <c r="J70" s="15">
        <f t="shared" si="2"/>
        <v>2.4636670627310839E-3</v>
      </c>
      <c r="K70" s="15">
        <f t="shared" si="3"/>
        <v>2.6082558631979154E-3</v>
      </c>
      <c r="L70" s="15">
        <f t="shared" si="4"/>
        <v>2.6485477735740388E-3</v>
      </c>
      <c r="M70" s="15">
        <f t="shared" si="5"/>
        <v>2.2348085723345938E-3</v>
      </c>
      <c r="N70" s="15">
        <f t="shared" si="6"/>
        <v>2.1558698091452134E-3</v>
      </c>
    </row>
    <row r="71" spans="1:14" ht="15" customHeight="1" x14ac:dyDescent="0.25">
      <c r="A71" s="8" t="s">
        <v>65</v>
      </c>
      <c r="B71" s="20">
        <v>205278.0662</v>
      </c>
      <c r="C71" s="19">
        <v>221859.11429999999</v>
      </c>
      <c r="D71" s="13">
        <v>196196.95629999999</v>
      </c>
      <c r="E71" s="21">
        <v>215932.9798</v>
      </c>
      <c r="F71" s="21">
        <v>189290.47709999999</v>
      </c>
      <c r="G71" s="21">
        <v>179528.77290000001</v>
      </c>
      <c r="I71" s="15">
        <f t="shared" si="1"/>
        <v>2.9579632918706866E-3</v>
      </c>
      <c r="J71" s="15">
        <f t="shared" si="2"/>
        <v>3.0051998130853231E-3</v>
      </c>
      <c r="K71" s="15">
        <f t="shared" si="3"/>
        <v>2.5954749667703148E-3</v>
      </c>
      <c r="L71" s="15">
        <f t="shared" si="4"/>
        <v>2.7108219785888783E-3</v>
      </c>
      <c r="M71" s="15">
        <f t="shared" si="5"/>
        <v>2.2752033752700988E-3</v>
      </c>
      <c r="N71" s="15">
        <f t="shared" si="6"/>
        <v>2.0705324195969691E-3</v>
      </c>
    </row>
    <row r="72" spans="1:14" ht="15" customHeight="1" x14ac:dyDescent="0.25">
      <c r="A72" s="8" t="s">
        <v>66</v>
      </c>
      <c r="B72" s="20">
        <v>2611.9229</v>
      </c>
      <c r="C72" s="19">
        <v>3693.2800999999999</v>
      </c>
      <c r="D72" s="13">
        <v>5371.7048999999997</v>
      </c>
      <c r="E72" s="21">
        <v>7076.1412</v>
      </c>
      <c r="F72" s="21">
        <v>6038.2233999999999</v>
      </c>
      <c r="G72" s="21">
        <v>2934.1776</v>
      </c>
      <c r="I72" s="15">
        <f t="shared" si="1"/>
        <v>3.7636617503348392E-5</v>
      </c>
      <c r="J72" s="15">
        <f t="shared" si="2"/>
        <v>5.0027445125303757E-5</v>
      </c>
      <c r="K72" s="15">
        <f t="shared" si="3"/>
        <v>7.1061885259365965E-5</v>
      </c>
      <c r="L72" s="15">
        <f t="shared" si="4"/>
        <v>8.883385533013553E-5</v>
      </c>
      <c r="M72" s="15">
        <f t="shared" si="5"/>
        <v>7.2577271032272614E-5</v>
      </c>
      <c r="N72" s="15">
        <f t="shared" si="6"/>
        <v>3.3840312878645133E-5</v>
      </c>
    </row>
    <row r="73" spans="1:14" s="25" customFormat="1" ht="15" customHeight="1" x14ac:dyDescent="0.25">
      <c r="A73" s="22" t="s">
        <v>67</v>
      </c>
      <c r="B73" s="23">
        <v>4738008.6995000001</v>
      </c>
      <c r="C73" s="24">
        <v>4661740.4466000004</v>
      </c>
      <c r="D73" s="16">
        <v>4461202.0905999998</v>
      </c>
      <c r="E73" s="27">
        <v>4614071.3086999999</v>
      </c>
      <c r="F73" s="27">
        <v>4744407.1487999996</v>
      </c>
      <c r="G73" s="27">
        <v>4826232.5993999997</v>
      </c>
      <c r="I73" s="15">
        <f t="shared" si="1"/>
        <v>6.8272544013691469E-2</v>
      </c>
      <c r="J73" s="15">
        <f t="shared" si="2"/>
        <v>6.3145756093801436E-2</v>
      </c>
      <c r="K73" s="15">
        <f t="shared" si="3"/>
        <v>5.9016911200959817E-2</v>
      </c>
      <c r="L73" s="15">
        <f t="shared" si="4"/>
        <v>5.7925037324012829E-2</v>
      </c>
      <c r="M73" s="15">
        <f t="shared" si="5"/>
        <v>5.7026065568542783E-2</v>
      </c>
      <c r="N73" s="15">
        <f t="shared" si="6"/>
        <v>5.566166860138691E-2</v>
      </c>
    </row>
    <row r="74" spans="1:14" ht="15" customHeight="1" x14ac:dyDescent="0.25">
      <c r="A74" s="8" t="s">
        <v>68</v>
      </c>
      <c r="B74" s="20">
        <v>3794186.4586</v>
      </c>
      <c r="C74" s="19">
        <v>3679193.9947000002</v>
      </c>
      <c r="D74" s="13">
        <v>3556644.8519000001</v>
      </c>
      <c r="E74" s="21">
        <v>3644420.4262999999</v>
      </c>
      <c r="F74" s="21">
        <v>3776225.3232999998</v>
      </c>
      <c r="G74" s="21">
        <v>3803294.6266999999</v>
      </c>
      <c r="I74" s="15">
        <f t="shared" si="1"/>
        <v>5.4672496067442192E-2</v>
      </c>
      <c r="J74" s="15">
        <f t="shared" si="2"/>
        <v>4.983664133007442E-2</v>
      </c>
      <c r="K74" s="15">
        <f t="shared" si="3"/>
        <v>4.7050590655870257E-2</v>
      </c>
      <c r="L74" s="15">
        <f t="shared" si="4"/>
        <v>4.5752043064392928E-2</v>
      </c>
      <c r="M74" s="15">
        <f t="shared" si="5"/>
        <v>4.5388868647701142E-2</v>
      </c>
      <c r="N74" s="15">
        <f t="shared" si="6"/>
        <v>4.3863970653036766E-2</v>
      </c>
    </row>
    <row r="75" spans="1:14" ht="15" customHeight="1" x14ac:dyDescent="0.25">
      <c r="A75" s="8" t="s">
        <v>69</v>
      </c>
      <c r="B75" s="20">
        <v>943822.24089999998</v>
      </c>
      <c r="C75" s="19">
        <v>982546.45189999999</v>
      </c>
      <c r="D75" s="13">
        <v>904557.23869999999</v>
      </c>
      <c r="E75" s="21">
        <v>969650.8824</v>
      </c>
      <c r="F75" s="21">
        <v>968181.82550000004</v>
      </c>
      <c r="G75" s="21">
        <v>1022937.9727</v>
      </c>
      <c r="I75" s="15">
        <f t="shared" si="1"/>
        <v>1.3600047946249272E-2</v>
      </c>
      <c r="J75" s="15">
        <f t="shared" si="2"/>
        <v>1.3309114763727007E-2</v>
      </c>
      <c r="K75" s="15">
        <f t="shared" si="3"/>
        <v>1.1966320545089568E-2</v>
      </c>
      <c r="L75" s="15">
        <f t="shared" si="4"/>
        <v>1.21729942596199E-2</v>
      </c>
      <c r="M75" s="15">
        <f t="shared" si="5"/>
        <v>1.1637196920841647E-2</v>
      </c>
      <c r="N75" s="15">
        <f t="shared" si="6"/>
        <v>1.1797697948350146E-2</v>
      </c>
    </row>
    <row r="76" spans="1:14" s="25" customFormat="1" ht="15" customHeight="1" x14ac:dyDescent="0.25">
      <c r="A76" s="22" t="s">
        <v>70</v>
      </c>
      <c r="B76" s="23">
        <v>12961314.9176</v>
      </c>
      <c r="C76" s="24">
        <v>12841637.203199999</v>
      </c>
      <c r="D76" s="16">
        <v>12872089.9145</v>
      </c>
      <c r="E76" s="27">
        <v>12154002.7151</v>
      </c>
      <c r="F76" s="27">
        <v>11583992.207599999</v>
      </c>
      <c r="G76" s="27">
        <v>11338916.628699999</v>
      </c>
      <c r="I76" s="15">
        <f t="shared" si="1"/>
        <v>0.18676663537585844</v>
      </c>
      <c r="J76" s="15">
        <f t="shared" si="2"/>
        <v>0.17394681234768714</v>
      </c>
      <c r="K76" s="15">
        <f t="shared" si="3"/>
        <v>0.17028392169354664</v>
      </c>
      <c r="L76" s="15">
        <f t="shared" si="4"/>
        <v>0.15258131350958173</v>
      </c>
      <c r="M76" s="15">
        <f t="shared" si="5"/>
        <v>0.13923541518631444</v>
      </c>
      <c r="N76" s="15">
        <f t="shared" si="6"/>
        <v>0.13077343594337304</v>
      </c>
    </row>
    <row r="77" spans="1:14" ht="15" customHeight="1" x14ac:dyDescent="0.25">
      <c r="A77" s="8" t="s">
        <v>71</v>
      </c>
      <c r="B77" s="20">
        <v>12212322.728399999</v>
      </c>
      <c r="C77" s="19">
        <v>12012376.4329</v>
      </c>
      <c r="D77" s="13">
        <v>11883839.4136</v>
      </c>
      <c r="E77" s="21">
        <v>11383276.3813</v>
      </c>
      <c r="F77" s="21">
        <v>10693426.2852</v>
      </c>
      <c r="G77" s="21">
        <v>10341797.1493</v>
      </c>
      <c r="I77" s="15">
        <f t="shared" si="1"/>
        <v>0.17597399959862475</v>
      </c>
      <c r="J77" s="15">
        <f t="shared" si="2"/>
        <v>0.16271403374507037</v>
      </c>
      <c r="K77" s="15">
        <f t="shared" si="3"/>
        <v>0.15721042919725059</v>
      </c>
      <c r="L77" s="15">
        <f t="shared" si="4"/>
        <v>0.14290561743445043</v>
      </c>
      <c r="M77" s="15">
        <f t="shared" si="5"/>
        <v>0.12853113347290007</v>
      </c>
      <c r="N77" s="15">
        <f t="shared" si="6"/>
        <v>0.11927350657294648</v>
      </c>
    </row>
    <row r="78" spans="1:14" ht="15" customHeight="1" x14ac:dyDescent="0.25">
      <c r="A78" s="8" t="s">
        <v>72</v>
      </c>
      <c r="B78" s="20">
        <v>63399.669500000004</v>
      </c>
      <c r="C78" s="19">
        <v>19952.287700000001</v>
      </c>
      <c r="D78" s="13">
        <v>19942.081300000002</v>
      </c>
      <c r="E78" s="21">
        <v>7586.2554</v>
      </c>
      <c r="F78" s="21">
        <v>8690.8489000000009</v>
      </c>
      <c r="G78" s="21">
        <v>9505.5046000000002</v>
      </c>
      <c r="I78" s="15">
        <f t="shared" si="1"/>
        <v>9.1356031635168226E-4</v>
      </c>
      <c r="J78" s="15">
        <f t="shared" si="2"/>
        <v>2.7026435878395013E-4</v>
      </c>
      <c r="K78" s="15">
        <f t="shared" si="3"/>
        <v>2.638123127675066E-4</v>
      </c>
      <c r="L78" s="15">
        <f t="shared" si="4"/>
        <v>9.5237827461817676E-5</v>
      </c>
      <c r="M78" s="15">
        <f t="shared" si="5"/>
        <v>1.0446087438828918E-4</v>
      </c>
      <c r="N78" s="15">
        <f t="shared" si="6"/>
        <v>1.0962841844794963E-4</v>
      </c>
    </row>
    <row r="79" spans="1:14" ht="15" customHeight="1" x14ac:dyDescent="0.25">
      <c r="A79" s="8" t="s">
        <v>73</v>
      </c>
      <c r="B79" s="20">
        <v>6945.6704</v>
      </c>
      <c r="C79" s="19">
        <v>12353.2286</v>
      </c>
      <c r="D79" s="13">
        <v>12811.306200000001</v>
      </c>
      <c r="E79" s="21">
        <v>17862.546200000001</v>
      </c>
      <c r="F79" s="21">
        <v>19057.5543</v>
      </c>
      <c r="G79" s="21">
        <v>22510.7068</v>
      </c>
      <c r="I79" s="15">
        <f t="shared" si="1"/>
        <v>1.0008394204481642E-4</v>
      </c>
      <c r="J79" s="15">
        <f t="shared" si="2"/>
        <v>1.6733105780599553E-4</v>
      </c>
      <c r="K79" s="15">
        <f t="shared" si="3"/>
        <v>1.6947981844777136E-4</v>
      </c>
      <c r="L79" s="15">
        <f t="shared" si="4"/>
        <v>2.242463512399473E-4</v>
      </c>
      <c r="M79" s="15">
        <f t="shared" si="5"/>
        <v>2.2906494046632199E-4</v>
      </c>
      <c r="N79" s="15">
        <f t="shared" si="6"/>
        <v>2.5961937724268793E-4</v>
      </c>
    </row>
    <row r="80" spans="1:14" ht="15" customHeight="1" x14ac:dyDescent="0.25">
      <c r="A80" s="8" t="s">
        <v>74</v>
      </c>
      <c r="B80" s="20">
        <v>2355385.0131000001</v>
      </c>
      <c r="C80" s="19">
        <v>2555471.4942999999</v>
      </c>
      <c r="D80" s="13">
        <v>2371959.3226999999</v>
      </c>
      <c r="E80" s="21">
        <v>2526605.8475000001</v>
      </c>
      <c r="F80" s="21">
        <v>2696335.6614000001</v>
      </c>
      <c r="G80" s="21">
        <v>2798337.9153</v>
      </c>
      <c r="I80" s="15">
        <f t="shared" si="1"/>
        <v>3.3940023578476967E-2</v>
      </c>
      <c r="J80" s="15">
        <f t="shared" si="2"/>
        <v>3.4615221832314108E-2</v>
      </c>
      <c r="K80" s="15">
        <f t="shared" si="3"/>
        <v>3.1378473755993334E-2</v>
      </c>
      <c r="L80" s="15">
        <f t="shared" si="4"/>
        <v>3.1719002206045503E-2</v>
      </c>
      <c r="M80" s="15">
        <f t="shared" si="5"/>
        <v>3.2408983756945772E-2</v>
      </c>
      <c r="N80" s="15">
        <f t="shared" si="6"/>
        <v>3.2273653303715351E-2</v>
      </c>
    </row>
    <row r="81" spans="1:14" ht="15" customHeight="1" x14ac:dyDescent="0.25">
      <c r="A81" s="8" t="s">
        <v>75</v>
      </c>
      <c r="B81" s="20">
        <v>672227.44220000005</v>
      </c>
      <c r="C81" s="19">
        <v>794283.49190000002</v>
      </c>
      <c r="D81" s="13">
        <v>737975.83459999994</v>
      </c>
      <c r="E81" s="21">
        <v>819038.50840000005</v>
      </c>
      <c r="F81" s="21">
        <v>876919.69299999997</v>
      </c>
      <c r="G81" s="21">
        <v>959709.45700000005</v>
      </c>
      <c r="I81" s="15">
        <f t="shared" ref="I81:I144" si="7">B81/B$16</f>
        <v>9.6864907908788735E-3</v>
      </c>
      <c r="J81" s="15">
        <f t="shared" ref="J81:J144" si="8">C81/C$16</f>
        <v>1.0758992746031341E-2</v>
      </c>
      <c r="K81" s="15">
        <f t="shared" ref="K81:K144" si="9">D81/D$16</f>
        <v>9.7626275193430732E-3</v>
      </c>
      <c r="L81" s="15">
        <f t="shared" ref="L81:L144" si="10">E81/E$16</f>
        <v>1.0282206969670927E-2</v>
      </c>
      <c r="M81" s="15">
        <f t="shared" ref="M81:M144" si="11">F81/F$16</f>
        <v>1.0540258949743114E-2</v>
      </c>
      <c r="N81" s="15">
        <f t="shared" ref="N81:N144" si="12">G81/G$16</f>
        <v>1.1068473938821778E-2</v>
      </c>
    </row>
    <row r="82" spans="1:14" ht="15" customHeight="1" x14ac:dyDescent="0.25">
      <c r="A82" s="8" t="s">
        <v>76</v>
      </c>
      <c r="B82" s="20">
        <v>1268500.5282999999</v>
      </c>
      <c r="C82" s="19">
        <v>1426731.8143</v>
      </c>
      <c r="D82" s="13">
        <v>1347867.5107</v>
      </c>
      <c r="E82" s="21">
        <v>1451945.4539000001</v>
      </c>
      <c r="F82" s="21">
        <v>1577593.1566000001</v>
      </c>
      <c r="G82" s="21">
        <v>1711223.8859999999</v>
      </c>
      <c r="I82" s="15">
        <f t="shared" si="7"/>
        <v>1.8278513958594436E-2</v>
      </c>
      <c r="J82" s="15">
        <f t="shared" si="8"/>
        <v>1.9325841965904055E-2</v>
      </c>
      <c r="K82" s="15">
        <f t="shared" si="9"/>
        <v>1.7830839216463775E-2</v>
      </c>
      <c r="L82" s="15">
        <f t="shared" si="10"/>
        <v>1.8227718858832349E-2</v>
      </c>
      <c r="M82" s="15">
        <f t="shared" si="11"/>
        <v>1.8962101684614169E-2</v>
      </c>
      <c r="N82" s="15">
        <f t="shared" si="12"/>
        <v>1.9735803213701508E-2</v>
      </c>
    </row>
    <row r="83" spans="1:14" ht="15" customHeight="1" x14ac:dyDescent="0.25">
      <c r="A83" s="8" t="s">
        <v>77</v>
      </c>
      <c r="B83" s="20">
        <v>14129.9882</v>
      </c>
      <c r="C83" s="19">
        <v>20119.091199999999</v>
      </c>
      <c r="D83" s="13">
        <v>24227.967799999999</v>
      </c>
      <c r="E83" s="21">
        <v>24261.829900000001</v>
      </c>
      <c r="F83" s="21">
        <v>24796.175899999998</v>
      </c>
      <c r="G83" s="21">
        <v>26295.103899999998</v>
      </c>
      <c r="I83" s="15">
        <f t="shared" si="7"/>
        <v>2.0360668425941142E-4</v>
      </c>
      <c r="J83" s="15">
        <f t="shared" si="8"/>
        <v>2.7252380099169348E-4</v>
      </c>
      <c r="K83" s="15">
        <f t="shared" si="9"/>
        <v>3.2050998703804691E-4</v>
      </c>
      <c r="L83" s="15">
        <f t="shared" si="10"/>
        <v>3.0458293955199151E-4</v>
      </c>
      <c r="M83" s="15">
        <f t="shared" si="11"/>
        <v>2.9804110574282598E-4</v>
      </c>
      <c r="N83" s="15">
        <f t="shared" si="12"/>
        <v>3.0326539986961999E-4</v>
      </c>
    </row>
    <row r="84" spans="1:14" ht="15" customHeight="1" x14ac:dyDescent="0.25">
      <c r="A84" s="8" t="s">
        <v>78</v>
      </c>
      <c r="B84" s="20">
        <v>276793.86580000003</v>
      </c>
      <c r="C84" s="19">
        <v>298382.38929999998</v>
      </c>
      <c r="D84" s="13">
        <v>280371.11670000001</v>
      </c>
      <c r="E84" s="21">
        <v>285382.93719999999</v>
      </c>
      <c r="F84" s="21">
        <v>301754.3149</v>
      </c>
      <c r="G84" s="21">
        <v>335003.777</v>
      </c>
      <c r="I84" s="15">
        <f t="shared" si="7"/>
        <v>3.9884733406134413E-3</v>
      </c>
      <c r="J84" s="15">
        <f t="shared" si="8"/>
        <v>4.0417483112268615E-3</v>
      </c>
      <c r="K84" s="15">
        <f t="shared" si="9"/>
        <v>3.7090086845566863E-3</v>
      </c>
      <c r="L84" s="15">
        <f t="shared" si="10"/>
        <v>3.5826965347884737E-3</v>
      </c>
      <c r="M84" s="15">
        <f t="shared" si="11"/>
        <v>3.626978209791814E-3</v>
      </c>
      <c r="N84" s="15">
        <f t="shared" si="12"/>
        <v>3.8636490951358443E-3</v>
      </c>
    </row>
    <row r="85" spans="1:14" ht="15" customHeight="1" x14ac:dyDescent="0.25">
      <c r="A85" s="8" t="s">
        <v>79</v>
      </c>
      <c r="B85" s="20">
        <v>20227.724900000001</v>
      </c>
      <c r="C85" s="19">
        <v>23870.3534</v>
      </c>
      <c r="D85" s="13">
        <v>26323.682199999999</v>
      </c>
      <c r="E85" s="21">
        <v>26988.625800000002</v>
      </c>
      <c r="F85" s="21">
        <v>33006.771200000003</v>
      </c>
      <c r="G85" s="21">
        <v>39526.804900000003</v>
      </c>
      <c r="I85" s="15">
        <f t="shared" si="7"/>
        <v>2.9147228849069632E-4</v>
      </c>
      <c r="J85" s="15">
        <f t="shared" si="8"/>
        <v>3.2333664452910248E-4</v>
      </c>
      <c r="K85" s="15">
        <f t="shared" si="9"/>
        <v>3.4823403722352916E-4</v>
      </c>
      <c r="L85" s="15">
        <f t="shared" si="10"/>
        <v>3.3881512707467789E-4</v>
      </c>
      <c r="M85" s="15">
        <f t="shared" si="11"/>
        <v>3.9672950478821477E-4</v>
      </c>
      <c r="N85" s="15">
        <f t="shared" si="12"/>
        <v>4.5586860349188261E-4</v>
      </c>
    </row>
    <row r="86" spans="1:14" s="25" customFormat="1" ht="15" customHeight="1" x14ac:dyDescent="0.25">
      <c r="A86" s="22" t="s">
        <v>155</v>
      </c>
      <c r="B86" s="23">
        <v>520755.94709999999</v>
      </c>
      <c r="C86" s="24">
        <v>573343.79399999999</v>
      </c>
      <c r="D86" s="16">
        <v>537904.29590000003</v>
      </c>
      <c r="E86" s="27">
        <v>616446.02500000002</v>
      </c>
      <c r="F86" s="27">
        <v>677301.17579999997</v>
      </c>
      <c r="G86" s="27">
        <v>720748.85629999998</v>
      </c>
      <c r="I86" s="15">
        <f t="shared" si="7"/>
        <v>7.5038556435171305E-3</v>
      </c>
      <c r="J86" s="15">
        <f t="shared" si="8"/>
        <v>7.7662469175485667E-3</v>
      </c>
      <c r="K86" s="15">
        <f t="shared" si="9"/>
        <v>7.1158959897007447E-3</v>
      </c>
      <c r="L86" s="26">
        <f t="shared" si="10"/>
        <v>7.7388615427412778E-3</v>
      </c>
      <c r="M86" s="26">
        <f t="shared" si="11"/>
        <v>8.14091625137843E-3</v>
      </c>
      <c r="N86" s="26">
        <f t="shared" si="12"/>
        <v>8.3125052839738266E-3</v>
      </c>
    </row>
    <row r="87" spans="1:14" ht="15" customHeight="1" x14ac:dyDescent="0.25">
      <c r="A87" s="8" t="s">
        <v>80</v>
      </c>
      <c r="B87" s="20">
        <v>1250.7104999999999</v>
      </c>
      <c r="C87" s="19">
        <v>1723.3915</v>
      </c>
      <c r="D87" s="13">
        <v>4533.2008999999998</v>
      </c>
      <c r="E87" s="21">
        <v>32420.0831</v>
      </c>
      <c r="F87" s="21">
        <v>44751.962099999997</v>
      </c>
      <c r="G87" s="21">
        <v>48707.8223</v>
      </c>
      <c r="I87" s="15">
        <f t="shared" si="7"/>
        <v>1.8022167766101217E-5</v>
      </c>
      <c r="J87" s="15">
        <f t="shared" si="8"/>
        <v>2.3344255339762865E-5</v>
      </c>
      <c r="K87" s="15">
        <f t="shared" si="9"/>
        <v>5.9969378104417928E-5</v>
      </c>
      <c r="L87" s="15">
        <f t="shared" si="10"/>
        <v>4.070016256736612E-4</v>
      </c>
      <c r="M87" s="15">
        <f t="shared" si="11"/>
        <v>5.37902470212959E-4</v>
      </c>
      <c r="N87" s="15">
        <f t="shared" si="12"/>
        <v>5.6175466211365278E-4</v>
      </c>
    </row>
    <row r="88" spans="1:14" ht="15" customHeight="1" x14ac:dyDescent="0.25">
      <c r="A88" s="8" t="s">
        <v>81</v>
      </c>
      <c r="B88" s="20">
        <v>243008.95689999999</v>
      </c>
      <c r="C88" s="19">
        <v>258727.94769999999</v>
      </c>
      <c r="D88" s="13">
        <v>244950.9449</v>
      </c>
      <c r="E88" s="21">
        <v>257596.32939999999</v>
      </c>
      <c r="F88" s="21">
        <v>274193.60369999998</v>
      </c>
      <c r="G88" s="21">
        <v>295429.99209999997</v>
      </c>
      <c r="I88" s="15">
        <f t="shared" si="7"/>
        <v>3.501648215088192E-3</v>
      </c>
      <c r="J88" s="15">
        <f t="shared" si="8"/>
        <v>3.5046077891422887E-3</v>
      </c>
      <c r="K88" s="15">
        <f t="shared" si="9"/>
        <v>3.2404378618522164E-3</v>
      </c>
      <c r="L88" s="15">
        <f t="shared" si="10"/>
        <v>3.2338635440872119E-3</v>
      </c>
      <c r="M88" s="15">
        <f t="shared" si="11"/>
        <v>3.2957083851933083E-3</v>
      </c>
      <c r="N88" s="15">
        <f t="shared" si="12"/>
        <v>3.4072386642170741E-3</v>
      </c>
    </row>
    <row r="89" spans="1:14" ht="15" customHeight="1" x14ac:dyDescent="0.25">
      <c r="A89" s="8" t="s">
        <v>82</v>
      </c>
      <c r="B89" s="20">
        <v>29252.566299999999</v>
      </c>
      <c r="C89" s="19">
        <v>25011.137999999999</v>
      </c>
      <c r="D89" s="13">
        <v>24926.864300000001</v>
      </c>
      <c r="E89" s="21">
        <v>25589.576400000002</v>
      </c>
      <c r="F89" s="21">
        <v>29707.1492</v>
      </c>
      <c r="G89" s="21">
        <v>32062.194899999999</v>
      </c>
      <c r="I89" s="15">
        <f t="shared" si="7"/>
        <v>4.2151613618627079E-4</v>
      </c>
      <c r="J89" s="15">
        <f t="shared" si="8"/>
        <v>3.3878917924919896E-4</v>
      </c>
      <c r="K89" s="15">
        <f t="shared" si="9"/>
        <v>3.2975563694170651E-4</v>
      </c>
      <c r="L89" s="15">
        <f t="shared" si="10"/>
        <v>3.2125146511732279E-4</v>
      </c>
      <c r="M89" s="15">
        <f t="shared" si="11"/>
        <v>3.57069236471867E-4</v>
      </c>
      <c r="N89" s="15">
        <f t="shared" si="12"/>
        <v>3.6977813033270391E-4</v>
      </c>
    </row>
    <row r="90" spans="1:14" ht="15" customHeight="1" x14ac:dyDescent="0.25">
      <c r="A90" s="8" t="s">
        <v>83</v>
      </c>
      <c r="B90" s="20">
        <v>296.50170000000003</v>
      </c>
      <c r="C90" s="19">
        <v>968.28790000000004</v>
      </c>
      <c r="D90" s="13">
        <v>1792.9799</v>
      </c>
      <c r="E90" s="21">
        <v>3340.0214000000001</v>
      </c>
      <c r="F90" s="21">
        <v>3092.3136</v>
      </c>
      <c r="G90" s="21">
        <v>3678.2211000000002</v>
      </c>
      <c r="I90" s="15">
        <f t="shared" si="7"/>
        <v>4.2724542412766296E-6</v>
      </c>
      <c r="J90" s="15">
        <f t="shared" si="8"/>
        <v>1.3115975087496238E-5</v>
      </c>
      <c r="K90" s="15">
        <f t="shared" si="9"/>
        <v>2.3719197963787894E-5</v>
      </c>
      <c r="L90" s="15">
        <f t="shared" si="10"/>
        <v>4.1930618604269338E-5</v>
      </c>
      <c r="M90" s="15">
        <f t="shared" si="11"/>
        <v>3.7168495995690165E-5</v>
      </c>
      <c r="N90" s="15">
        <f t="shared" si="12"/>
        <v>4.2421478802385475E-5</v>
      </c>
    </row>
    <row r="91" spans="1:14" ht="15" customHeight="1" x14ac:dyDescent="0.25">
      <c r="A91" s="8" t="s">
        <v>84</v>
      </c>
      <c r="B91" s="20">
        <v>878.8288</v>
      </c>
      <c r="C91" s="19">
        <v>1442.4274</v>
      </c>
      <c r="D91" s="13">
        <v>1959.2284999999999</v>
      </c>
      <c r="E91" s="21">
        <v>2145.9562999999998</v>
      </c>
      <c r="F91" s="21">
        <v>3064.3598000000002</v>
      </c>
      <c r="G91" s="21">
        <v>3831.2406000000001</v>
      </c>
      <c r="I91" s="15">
        <f t="shared" si="7"/>
        <v>1.2663522111057207E-5</v>
      </c>
      <c r="J91" s="15">
        <f t="shared" si="8"/>
        <v>1.9538447029981447E-5</v>
      </c>
      <c r="K91" s="15">
        <f t="shared" si="9"/>
        <v>2.5918488348807039E-5</v>
      </c>
      <c r="L91" s="15">
        <f t="shared" si="10"/>
        <v>2.6940328932242466E-5</v>
      </c>
      <c r="M91" s="15">
        <f t="shared" si="11"/>
        <v>3.683250138525857E-5</v>
      </c>
      <c r="N91" s="15">
        <f t="shared" si="12"/>
        <v>4.4186275778728636E-5</v>
      </c>
    </row>
    <row r="92" spans="1:14" s="25" customFormat="1" ht="15" customHeight="1" x14ac:dyDescent="0.25">
      <c r="A92" s="22" t="s">
        <v>154</v>
      </c>
      <c r="B92" s="23">
        <v>405381.5784</v>
      </c>
      <c r="C92" s="24">
        <v>458978.1606</v>
      </c>
      <c r="D92" s="16">
        <v>459698.52490000002</v>
      </c>
      <c r="E92" s="27">
        <v>552869.14520000003</v>
      </c>
      <c r="F92" s="27">
        <v>604174.81740000006</v>
      </c>
      <c r="G92" s="27">
        <v>667337.31160000002</v>
      </c>
      <c r="I92" s="15">
        <f t="shared" si="7"/>
        <v>5.8413636210871457E-3</v>
      </c>
      <c r="J92" s="15">
        <f t="shared" si="8"/>
        <v>6.217103528955022E-3</v>
      </c>
      <c r="K92" s="15">
        <f t="shared" si="9"/>
        <v>6.0813176521188998E-3</v>
      </c>
      <c r="L92" s="26">
        <f t="shared" si="10"/>
        <v>6.9407175850578701E-3</v>
      </c>
      <c r="M92" s="26">
        <f t="shared" si="11"/>
        <v>7.2619637546556528E-3</v>
      </c>
      <c r="N92" s="26">
        <f t="shared" si="12"/>
        <v>7.6965018818690124E-3</v>
      </c>
    </row>
    <row r="93" spans="1:14" ht="15" customHeight="1" x14ac:dyDescent="0.25">
      <c r="A93" s="8" t="s">
        <v>85</v>
      </c>
      <c r="B93" s="20">
        <v>1986.6721</v>
      </c>
      <c r="C93" s="19">
        <v>4244.5272000000004</v>
      </c>
      <c r="D93" s="13">
        <v>6711.0191000000004</v>
      </c>
      <c r="E93" s="21">
        <v>12000.6991</v>
      </c>
      <c r="F93" s="21">
        <v>11919.1603</v>
      </c>
      <c r="G93" s="21">
        <v>13114.4422</v>
      </c>
      <c r="I93" s="15">
        <f t="shared" si="7"/>
        <v>2.8627038697150636E-5</v>
      </c>
      <c r="J93" s="15">
        <f t="shared" si="8"/>
        <v>5.749438055912933E-5</v>
      </c>
      <c r="K93" s="15">
        <f t="shared" si="9"/>
        <v>8.8779573363684491E-5</v>
      </c>
      <c r="L93" s="15">
        <f t="shared" si="10"/>
        <v>1.5065674038696229E-4</v>
      </c>
      <c r="M93" s="15">
        <f t="shared" si="11"/>
        <v>1.4326401497006616E-4</v>
      </c>
      <c r="N93" s="15">
        <f t="shared" si="12"/>
        <v>1.5125084019348631E-4</v>
      </c>
    </row>
    <row r="94" spans="1:14" ht="15" customHeight="1" x14ac:dyDescent="0.25">
      <c r="A94" s="8" t="s">
        <v>86</v>
      </c>
      <c r="B94" s="20">
        <v>345697.91399999999</v>
      </c>
      <c r="C94" s="19">
        <v>424327.94209999999</v>
      </c>
      <c r="D94" s="13">
        <v>481938.4117</v>
      </c>
      <c r="E94" s="21">
        <v>555123.46479999996</v>
      </c>
      <c r="F94" s="21">
        <v>679518.9584</v>
      </c>
      <c r="G94" s="21">
        <v>790089.12089999998</v>
      </c>
      <c r="I94" s="15">
        <f t="shared" si="7"/>
        <v>4.981349243089613E-3</v>
      </c>
      <c r="J94" s="15">
        <f t="shared" si="8"/>
        <v>5.7477478728301216E-3</v>
      </c>
      <c r="K94" s="15">
        <f t="shared" si="9"/>
        <v>6.3755274632280104E-3</v>
      </c>
      <c r="L94" s="15">
        <f t="shared" si="10"/>
        <v>6.9690183065322072E-3</v>
      </c>
      <c r="M94" s="15">
        <f t="shared" si="11"/>
        <v>8.1675731996541205E-3</v>
      </c>
      <c r="N94" s="15">
        <f t="shared" si="12"/>
        <v>9.1122170155172894E-3</v>
      </c>
    </row>
    <row r="95" spans="1:14" ht="15" customHeight="1" x14ac:dyDescent="0.25">
      <c r="A95" s="8" t="s">
        <v>87</v>
      </c>
      <c r="B95" s="20">
        <v>20888.023099999999</v>
      </c>
      <c r="C95" s="19">
        <v>28145.017599999999</v>
      </c>
      <c r="D95" s="13">
        <v>27079.146000000001</v>
      </c>
      <c r="E95" s="21">
        <v>25189.144199999999</v>
      </c>
      <c r="F95" s="21">
        <v>24818.5406</v>
      </c>
      <c r="G95" s="21">
        <v>28247.297900000001</v>
      </c>
      <c r="I95" s="15">
        <f t="shared" si="7"/>
        <v>3.0098688434325742E-4</v>
      </c>
      <c r="J95" s="15">
        <f t="shared" si="8"/>
        <v>3.8123924679709737E-4</v>
      </c>
      <c r="K95" s="15">
        <f t="shared" si="9"/>
        <v>3.5822801173862303E-4</v>
      </c>
      <c r="L95" s="15">
        <f t="shared" si="10"/>
        <v>3.1622444048356785E-4</v>
      </c>
      <c r="M95" s="15">
        <f t="shared" si="11"/>
        <v>2.9830992138377355E-4</v>
      </c>
      <c r="N95" s="15">
        <f t="shared" si="12"/>
        <v>3.2578034775819151E-4</v>
      </c>
    </row>
    <row r="96" spans="1:14" ht="15" customHeight="1" x14ac:dyDescent="0.25">
      <c r="A96" s="8" t="s">
        <v>88</v>
      </c>
      <c r="B96" s="20">
        <v>25448.485199999999</v>
      </c>
      <c r="C96" s="19">
        <v>29942.554100000001</v>
      </c>
      <c r="D96" s="13">
        <v>33750.739300000001</v>
      </c>
      <c r="E96" s="21">
        <v>43499.727800000001</v>
      </c>
      <c r="F96" s="21">
        <v>45551.974399999999</v>
      </c>
      <c r="G96" s="21">
        <v>53721.471599999997</v>
      </c>
      <c r="I96" s="15">
        <f t="shared" si="7"/>
        <v>3.6670106284991124E-4</v>
      </c>
      <c r="J96" s="15">
        <f t="shared" si="8"/>
        <v>4.0558783563401788E-4</v>
      </c>
      <c r="K96" s="15">
        <f t="shared" si="9"/>
        <v>4.4648602412157329E-4</v>
      </c>
      <c r="L96" s="15">
        <f t="shared" si="10"/>
        <v>5.4609545189480881E-4</v>
      </c>
      <c r="M96" s="15">
        <f t="shared" si="11"/>
        <v>5.4751832999155739E-4</v>
      </c>
      <c r="N96" s="15">
        <f t="shared" si="12"/>
        <v>6.1957783579468699E-4</v>
      </c>
    </row>
    <row r="97" spans="1:14" ht="15" customHeight="1" x14ac:dyDescent="0.25">
      <c r="A97" s="8" t="s">
        <v>89</v>
      </c>
      <c r="B97" s="20">
        <v>30302.523799999999</v>
      </c>
      <c r="C97" s="19">
        <v>33898.208200000001</v>
      </c>
      <c r="D97" s="13">
        <v>33221.034899999999</v>
      </c>
      <c r="E97" s="21">
        <v>33237.565699999999</v>
      </c>
      <c r="F97" s="21">
        <v>33628.416499999999</v>
      </c>
      <c r="G97" s="21">
        <v>35421.688099999999</v>
      </c>
      <c r="I97" s="15">
        <f t="shared" si="7"/>
        <v>4.3664554480023557E-4</v>
      </c>
      <c r="J97" s="15">
        <f t="shared" si="8"/>
        <v>4.5916927626789582E-4</v>
      </c>
      <c r="K97" s="15">
        <f t="shared" si="9"/>
        <v>4.3947860394587056E-4</v>
      </c>
      <c r="L97" s="15">
        <f t="shared" si="10"/>
        <v>4.1726429977396084E-4</v>
      </c>
      <c r="M97" s="15">
        <f t="shared" si="11"/>
        <v>4.0420145745297342E-4</v>
      </c>
      <c r="N97" s="15">
        <f t="shared" si="12"/>
        <v>4.0852367218459482E-4</v>
      </c>
    </row>
    <row r="98" spans="1:14" ht="15" customHeight="1" x14ac:dyDescent="0.25">
      <c r="A98" s="8" t="s">
        <v>90</v>
      </c>
      <c r="B98" s="20">
        <v>297411.62160000001</v>
      </c>
      <c r="C98" s="19">
        <v>345352.5624</v>
      </c>
      <c r="D98" s="13">
        <v>377872.87959999999</v>
      </c>
      <c r="E98" s="21">
        <v>424403.31650000002</v>
      </c>
      <c r="F98" s="21">
        <v>430257.62040000001</v>
      </c>
      <c r="G98" s="21">
        <v>600964.51249999995</v>
      </c>
      <c r="I98" s="15">
        <f t="shared" si="7"/>
        <v>4.2855657964520275E-3</v>
      </c>
      <c r="J98" s="15">
        <f t="shared" si="8"/>
        <v>4.6779843111138635E-3</v>
      </c>
      <c r="K98" s="15">
        <f t="shared" si="9"/>
        <v>4.9988522662072167E-3</v>
      </c>
      <c r="L98" s="15">
        <f t="shared" si="10"/>
        <v>5.3279579581581452E-3</v>
      </c>
      <c r="M98" s="15">
        <f t="shared" si="11"/>
        <v>5.1715416705965982E-3</v>
      </c>
      <c r="N98" s="15">
        <f t="shared" si="12"/>
        <v>6.9310143775763418E-3</v>
      </c>
    </row>
    <row r="99" spans="1:14" ht="15" customHeight="1" x14ac:dyDescent="0.25">
      <c r="A99" s="8" t="s">
        <v>91</v>
      </c>
      <c r="B99" s="20">
        <v>105184.3106</v>
      </c>
      <c r="C99" s="19">
        <v>128244.9534</v>
      </c>
      <c r="D99" s="13">
        <v>143361.68090000001</v>
      </c>
      <c r="E99" s="21">
        <v>147240.86309999999</v>
      </c>
      <c r="F99" s="21">
        <v>156347.6226</v>
      </c>
      <c r="G99" s="21">
        <v>164562.1116</v>
      </c>
      <c r="I99" s="15">
        <f t="shared" si="7"/>
        <v>1.5156579336264458E-3</v>
      </c>
      <c r="J99" s="15">
        <f t="shared" si="8"/>
        <v>1.7371461668492562E-3</v>
      </c>
      <c r="K99" s="15">
        <f t="shared" si="9"/>
        <v>1.8965210316571257E-3</v>
      </c>
      <c r="L99" s="15">
        <f t="shared" si="10"/>
        <v>1.8484613522564658E-3</v>
      </c>
      <c r="M99" s="15">
        <f t="shared" si="11"/>
        <v>1.8792421262008412E-3</v>
      </c>
      <c r="N99" s="15">
        <f t="shared" si="12"/>
        <v>1.8979196571177279E-3</v>
      </c>
    </row>
    <row r="100" spans="1:14" ht="15" customHeight="1" x14ac:dyDescent="0.25">
      <c r="A100" s="8" t="s">
        <v>92</v>
      </c>
      <c r="B100" s="20">
        <v>10439.9992</v>
      </c>
      <c r="C100" s="19">
        <v>13656.5789</v>
      </c>
      <c r="D100" s="13">
        <v>15082.7299</v>
      </c>
      <c r="E100" s="21">
        <v>18754.8678</v>
      </c>
      <c r="F100" s="21">
        <v>20009.941900000002</v>
      </c>
      <c r="G100" s="21">
        <v>22767.433300000001</v>
      </c>
      <c r="I100" s="15">
        <f t="shared" si="7"/>
        <v>1.5043562603844976E-4</v>
      </c>
      <c r="J100" s="15">
        <f t="shared" si="8"/>
        <v>1.8498563147678162E-4</v>
      </c>
      <c r="K100" s="15">
        <f t="shared" si="9"/>
        <v>1.9952831391609175E-4</v>
      </c>
      <c r="L100" s="15">
        <f t="shared" si="10"/>
        <v>2.3544855392102935E-4</v>
      </c>
      <c r="M100" s="15">
        <f t="shared" si="11"/>
        <v>2.4051229648381812E-4</v>
      </c>
      <c r="N100" s="15">
        <f t="shared" si="12"/>
        <v>2.6258024269413144E-4</v>
      </c>
    </row>
    <row r="101" spans="1:14" ht="15" customHeight="1" x14ac:dyDescent="0.25">
      <c r="A101" s="8" t="s">
        <v>93</v>
      </c>
      <c r="B101" s="20">
        <v>7507405.7720999997</v>
      </c>
      <c r="C101" s="19">
        <v>7995652.9389000004</v>
      </c>
      <c r="D101" s="13">
        <v>8242193.4899000004</v>
      </c>
      <c r="E101" s="21">
        <v>8947006.2215999998</v>
      </c>
      <c r="F101" s="21">
        <v>9321603.2632999998</v>
      </c>
      <c r="G101" s="21">
        <v>9738448.4470000006</v>
      </c>
      <c r="I101" s="15">
        <f t="shared" si="7"/>
        <v>0.10817829250892422</v>
      </c>
      <c r="J101" s="15">
        <f t="shared" si="8"/>
        <v>0.10830537565829181</v>
      </c>
      <c r="K101" s="15">
        <f t="shared" si="9"/>
        <v>0.10903536567408365</v>
      </c>
      <c r="L101" s="15">
        <f t="shared" si="10"/>
        <v>0.11232068918119341</v>
      </c>
      <c r="M101" s="15">
        <f t="shared" si="11"/>
        <v>0.11204231471393407</v>
      </c>
      <c r="N101" s="15">
        <f t="shared" si="12"/>
        <v>0.11231499497475403</v>
      </c>
    </row>
    <row r="102" spans="1:14" ht="15" customHeight="1" x14ac:dyDescent="0.25">
      <c r="A102" s="8" t="s">
        <v>94</v>
      </c>
      <c r="B102" s="20">
        <v>7026930.4157999996</v>
      </c>
      <c r="C102" s="19">
        <v>7463397.1830000002</v>
      </c>
      <c r="D102" s="13">
        <v>7691961.1052999999</v>
      </c>
      <c r="E102" s="21">
        <v>8360808.0104999999</v>
      </c>
      <c r="F102" s="21">
        <v>8679743.3965000007</v>
      </c>
      <c r="G102" s="21">
        <v>9049799.9280999992</v>
      </c>
      <c r="I102" s="15">
        <f t="shared" si="7"/>
        <v>0.10125486180396422</v>
      </c>
      <c r="J102" s="15">
        <f t="shared" si="8"/>
        <v>0.10109568809061603</v>
      </c>
      <c r="K102" s="15">
        <f t="shared" si="9"/>
        <v>0.1017563823143625</v>
      </c>
      <c r="L102" s="15">
        <f t="shared" si="10"/>
        <v>0.10496155860312613</v>
      </c>
      <c r="M102" s="15">
        <f t="shared" si="11"/>
        <v>0.10432739023507462</v>
      </c>
      <c r="N102" s="15">
        <f t="shared" si="12"/>
        <v>0.10437270772431916</v>
      </c>
    </row>
    <row r="103" spans="1:14" ht="15" customHeight="1" x14ac:dyDescent="0.25">
      <c r="A103" s="8" t="s">
        <v>95</v>
      </c>
      <c r="B103" s="20">
        <v>4980897.5169000002</v>
      </c>
      <c r="C103" s="19">
        <v>5300551.8331000004</v>
      </c>
      <c r="D103" s="13">
        <v>5106876.7587000001</v>
      </c>
      <c r="E103" s="21">
        <v>5140244.6421999997</v>
      </c>
      <c r="F103" s="21">
        <v>5321198.7653000001</v>
      </c>
      <c r="G103" s="21">
        <v>5331945.2417000001</v>
      </c>
      <c r="I103" s="15">
        <f t="shared" si="7"/>
        <v>7.1772461073388916E-2</v>
      </c>
      <c r="J103" s="15">
        <f t="shared" si="8"/>
        <v>7.1798796404377377E-2</v>
      </c>
      <c r="K103" s="15">
        <f t="shared" si="9"/>
        <v>6.7558493442270467E-2</v>
      </c>
      <c r="L103" s="15">
        <f t="shared" si="10"/>
        <v>6.4530615769326241E-2</v>
      </c>
      <c r="M103" s="15">
        <f t="shared" si="11"/>
        <v>6.3958893108488249E-2</v>
      </c>
      <c r="N103" s="15">
        <f t="shared" si="12"/>
        <v>6.1494128791294421E-2</v>
      </c>
    </row>
    <row r="104" spans="1:14" ht="15" customHeight="1" x14ac:dyDescent="0.25">
      <c r="A104" s="8" t="s">
        <v>96</v>
      </c>
      <c r="B104" s="20">
        <v>1579286.8221</v>
      </c>
      <c r="C104" s="19">
        <v>1563499.1055000001</v>
      </c>
      <c r="D104" s="13">
        <v>1587934.9380000001</v>
      </c>
      <c r="E104" s="21">
        <v>1649521.2694999999</v>
      </c>
      <c r="F104" s="21">
        <v>1724738.3112999999</v>
      </c>
      <c r="G104" s="21">
        <v>1797367.5046999999</v>
      </c>
      <c r="I104" s="15">
        <f t="shared" si="7"/>
        <v>2.2756802680299761E-2</v>
      </c>
      <c r="J104" s="15">
        <f t="shared" si="8"/>
        <v>2.1178427735243466E-2</v>
      </c>
      <c r="K104" s="15">
        <f t="shared" si="9"/>
        <v>2.100667338659918E-2</v>
      </c>
      <c r="L104" s="15">
        <f t="shared" si="10"/>
        <v>2.0708085053297763E-2</v>
      </c>
      <c r="M104" s="15">
        <f t="shared" si="11"/>
        <v>2.0730733460269834E-2</v>
      </c>
      <c r="N104" s="15">
        <f t="shared" si="12"/>
        <v>2.0729310562849938E-2</v>
      </c>
    </row>
    <row r="105" spans="1:14" ht="15" customHeight="1" x14ac:dyDescent="0.25">
      <c r="A105" s="8" t="s">
        <v>97</v>
      </c>
      <c r="B105" s="20">
        <v>98133.842699999994</v>
      </c>
      <c r="C105" s="19">
        <v>140618.54550000001</v>
      </c>
      <c r="D105" s="13">
        <v>339365.0944</v>
      </c>
      <c r="E105" s="21">
        <v>474412.07539999997</v>
      </c>
      <c r="F105" s="21">
        <v>683636.68680000002</v>
      </c>
      <c r="G105" s="21">
        <v>682914.62800000003</v>
      </c>
      <c r="I105" s="15">
        <f t="shared" si="7"/>
        <v>1.4140639074122967E-3</v>
      </c>
      <c r="J105" s="15">
        <f t="shared" si="8"/>
        <v>1.9047530591035542E-3</v>
      </c>
      <c r="K105" s="15">
        <f t="shared" si="9"/>
        <v>4.4894356350972855E-3</v>
      </c>
      <c r="L105" s="15">
        <f t="shared" si="10"/>
        <v>5.9557677668943274E-3</v>
      </c>
      <c r="M105" s="15">
        <f t="shared" si="11"/>
        <v>8.217066812315767E-3</v>
      </c>
      <c r="N105" s="15">
        <f t="shared" si="12"/>
        <v>7.8761574217332837E-3</v>
      </c>
    </row>
    <row r="106" spans="1:14" ht="15" customHeight="1" x14ac:dyDescent="0.25">
      <c r="A106" s="8" t="s">
        <v>98</v>
      </c>
      <c r="B106" s="20">
        <v>50737.1734</v>
      </c>
      <c r="C106" s="19">
        <v>48399.712099999997</v>
      </c>
      <c r="D106" s="13">
        <v>40201.209300000002</v>
      </c>
      <c r="E106" s="21">
        <v>37622.251799999998</v>
      </c>
      <c r="F106" s="21">
        <v>56757.8024</v>
      </c>
      <c r="G106" s="21">
        <v>71029.701000000001</v>
      </c>
      <c r="I106" s="15">
        <f t="shared" si="7"/>
        <v>7.3109952382471258E-4</v>
      </c>
      <c r="J106" s="15">
        <f t="shared" si="8"/>
        <v>6.5559986667765877E-4</v>
      </c>
      <c r="K106" s="15">
        <f t="shared" si="9"/>
        <v>5.3181881278779029E-4</v>
      </c>
      <c r="L106" s="15">
        <f t="shared" si="10"/>
        <v>4.7230963587825681E-4</v>
      </c>
      <c r="M106" s="15">
        <f t="shared" si="11"/>
        <v>6.8220834757140212E-4</v>
      </c>
      <c r="N106" s="15">
        <f t="shared" si="12"/>
        <v>8.1919625639450503E-4</v>
      </c>
    </row>
    <row r="107" spans="1:14" ht="15" customHeight="1" x14ac:dyDescent="0.25">
      <c r="A107" s="8" t="s">
        <v>99</v>
      </c>
      <c r="B107" s="20">
        <v>429738.18290000001</v>
      </c>
      <c r="C107" s="19">
        <v>483856.04379999998</v>
      </c>
      <c r="D107" s="13">
        <v>510031.1753</v>
      </c>
      <c r="E107" s="21">
        <v>548575.95929999999</v>
      </c>
      <c r="F107" s="21">
        <v>585102.06440000003</v>
      </c>
      <c r="G107" s="21">
        <v>617618.81790000002</v>
      </c>
      <c r="I107" s="15">
        <f t="shared" si="7"/>
        <v>6.1923311811352749E-3</v>
      </c>
      <c r="J107" s="15">
        <f t="shared" si="8"/>
        <v>6.5540877009981104E-3</v>
      </c>
      <c r="K107" s="15">
        <f t="shared" si="9"/>
        <v>6.7471645469333518E-3</v>
      </c>
      <c r="L107" s="15">
        <f t="shared" si="10"/>
        <v>6.8868209421890161E-3</v>
      </c>
      <c r="M107" s="15">
        <f t="shared" si="11"/>
        <v>7.032716131288059E-3</v>
      </c>
      <c r="N107" s="15">
        <f t="shared" si="12"/>
        <v>7.123090994040359E-3</v>
      </c>
    </row>
    <row r="108" spans="1:14" ht="15" customHeight="1" x14ac:dyDescent="0.25">
      <c r="A108" s="8" t="s">
        <v>100</v>
      </c>
      <c r="B108" s="20">
        <v>657079.39199999999</v>
      </c>
      <c r="C108" s="19">
        <v>747725.46409999998</v>
      </c>
      <c r="D108" s="13">
        <v>746330.57979999995</v>
      </c>
      <c r="E108" s="21">
        <v>731302.73459999997</v>
      </c>
      <c r="F108" s="21">
        <v>679835.52110000001</v>
      </c>
      <c r="G108" s="21">
        <v>628229.26439999999</v>
      </c>
      <c r="I108" s="15">
        <f t="shared" si="7"/>
        <v>9.4682142976106679E-3</v>
      </c>
      <c r="J108" s="15">
        <f t="shared" si="8"/>
        <v>1.0128339473644318E-2</v>
      </c>
      <c r="K108" s="15">
        <f t="shared" si="9"/>
        <v>9.8731518232328189E-3</v>
      </c>
      <c r="L108" s="15">
        <f t="shared" si="10"/>
        <v>9.1807723294143571E-3</v>
      </c>
      <c r="M108" s="15">
        <f t="shared" si="11"/>
        <v>8.1713781693206304E-3</v>
      </c>
      <c r="N108" s="15">
        <f t="shared" si="12"/>
        <v>7.2454628741004225E-3</v>
      </c>
    </row>
    <row r="109" spans="1:14" ht="15" customHeight="1" x14ac:dyDescent="0.25">
      <c r="A109" s="8" t="s">
        <v>101</v>
      </c>
      <c r="B109" s="20">
        <v>276624.40250000003</v>
      </c>
      <c r="C109" s="19">
        <v>317821.78639999998</v>
      </c>
      <c r="D109" s="13">
        <v>307381.64850000001</v>
      </c>
      <c r="E109" s="21">
        <v>278773.53039999999</v>
      </c>
      <c r="F109" s="21">
        <v>242688.0337</v>
      </c>
      <c r="G109" s="21">
        <v>213825.5282</v>
      </c>
      <c r="I109" s="15">
        <f t="shared" si="7"/>
        <v>3.9860314517648253E-3</v>
      </c>
      <c r="J109" s="15">
        <f t="shared" si="8"/>
        <v>4.30506529378912E-3</v>
      </c>
      <c r="K109" s="15">
        <f t="shared" si="9"/>
        <v>4.0663290041382874E-3</v>
      </c>
      <c r="L109" s="15">
        <f t="shared" si="10"/>
        <v>3.4997220617113659E-3</v>
      </c>
      <c r="M109" s="15">
        <f t="shared" si="11"/>
        <v>2.9170227782784933E-3</v>
      </c>
      <c r="N109" s="15">
        <f t="shared" si="12"/>
        <v>2.4660820721041422E-3</v>
      </c>
    </row>
    <row r="110" spans="1:14" ht="15" customHeight="1" x14ac:dyDescent="0.25">
      <c r="A110" s="8" t="s">
        <v>102</v>
      </c>
      <c r="B110" s="20">
        <v>91848.831699999995</v>
      </c>
      <c r="C110" s="19">
        <v>120481.19530000001</v>
      </c>
      <c r="D110" s="13">
        <v>128766.99980000001</v>
      </c>
      <c r="E110" s="21">
        <v>128762.79240000001</v>
      </c>
      <c r="F110" s="21">
        <v>134117.5148</v>
      </c>
      <c r="G110" s="21">
        <v>136612.18100000001</v>
      </c>
      <c r="I110" s="15">
        <f t="shared" si="7"/>
        <v>1.3234997659472723E-3</v>
      </c>
      <c r="J110" s="15">
        <f t="shared" si="8"/>
        <v>1.6319819302364194E-3</v>
      </c>
      <c r="K110" s="15">
        <f t="shared" si="9"/>
        <v>1.7034490790773708E-3</v>
      </c>
      <c r="L110" s="15">
        <f t="shared" si="10"/>
        <v>1.6164877082958543E-3</v>
      </c>
      <c r="M110" s="15">
        <f t="shared" si="11"/>
        <v>1.6120442350335091E-3</v>
      </c>
      <c r="N110" s="15">
        <f t="shared" si="12"/>
        <v>1.5755688912880055E-3</v>
      </c>
    </row>
    <row r="111" spans="1:14" ht="15" customHeight="1" x14ac:dyDescent="0.25">
      <c r="A111" s="8" t="s">
        <v>103</v>
      </c>
      <c r="B111" s="20">
        <v>103146.2879</v>
      </c>
      <c r="C111" s="19">
        <v>104403.7239</v>
      </c>
      <c r="D111" s="13">
        <v>105974.1287</v>
      </c>
      <c r="E111" s="21">
        <v>116332.3846</v>
      </c>
      <c r="F111" s="21">
        <v>106395.15760000001</v>
      </c>
      <c r="G111" s="21">
        <v>96150.035699999993</v>
      </c>
      <c r="I111" s="15">
        <f t="shared" si="7"/>
        <v>1.4862909562079923E-3</v>
      </c>
      <c r="J111" s="15">
        <f t="shared" si="8"/>
        <v>1.414204021050181E-3</v>
      </c>
      <c r="K111" s="15">
        <f t="shared" si="9"/>
        <v>1.4019238797240484E-3</v>
      </c>
      <c r="L111" s="15">
        <f t="shared" si="10"/>
        <v>1.4604364061822407E-3</v>
      </c>
      <c r="M111" s="15">
        <f t="shared" si="11"/>
        <v>1.2788314837202878E-3</v>
      </c>
      <c r="N111" s="15">
        <f t="shared" si="12"/>
        <v>1.1089128658677305E-3</v>
      </c>
    </row>
    <row r="112" spans="1:14" ht="15" customHeight="1" x14ac:dyDescent="0.25">
      <c r="A112" s="8" t="s">
        <v>104</v>
      </c>
      <c r="B112" s="20">
        <v>185459.86989999999</v>
      </c>
      <c r="C112" s="19">
        <v>205018.7585</v>
      </c>
      <c r="D112" s="13">
        <v>204207.8028</v>
      </c>
      <c r="E112" s="21">
        <v>207434.02720000001</v>
      </c>
      <c r="F112" s="21">
        <v>196634.815</v>
      </c>
      <c r="G112" s="21">
        <v>181641.51949999999</v>
      </c>
      <c r="I112" s="15">
        <f t="shared" si="7"/>
        <v>2.672392123690579E-3</v>
      </c>
      <c r="J112" s="15">
        <f t="shared" si="8"/>
        <v>2.7770882285685977E-3</v>
      </c>
      <c r="K112" s="15">
        <f t="shared" si="9"/>
        <v>2.7014498602931131E-3</v>
      </c>
      <c r="L112" s="15">
        <f t="shared" si="10"/>
        <v>2.6041261532248963E-3</v>
      </c>
      <c r="M112" s="15">
        <f t="shared" si="11"/>
        <v>2.3634796722883399E-3</v>
      </c>
      <c r="N112" s="15">
        <f t="shared" si="12"/>
        <v>2.0948990448405444E-3</v>
      </c>
    </row>
    <row r="113" spans="1:14" ht="15" customHeight="1" x14ac:dyDescent="0.25">
      <c r="A113" s="8" t="s">
        <v>105</v>
      </c>
      <c r="B113" s="20">
        <v>1351709.7848</v>
      </c>
      <c r="C113" s="19">
        <v>1543160.0828</v>
      </c>
      <c r="D113" s="13">
        <v>1584785.4929</v>
      </c>
      <c r="E113" s="21">
        <v>1837862.0426</v>
      </c>
      <c r="F113" s="21">
        <v>1961299.8334999999</v>
      </c>
      <c r="G113" s="21">
        <v>2080523.7409000001</v>
      </c>
      <c r="I113" s="15">
        <f t="shared" si="7"/>
        <v>1.9477521387040547E-2</v>
      </c>
      <c r="J113" s="15">
        <f t="shared" si="8"/>
        <v>2.0902924845000573E-2</v>
      </c>
      <c r="K113" s="15">
        <f t="shared" si="9"/>
        <v>2.0965009611225577E-2</v>
      </c>
      <c r="L113" s="15">
        <f t="shared" si="10"/>
        <v>2.307251455200976E-2</v>
      </c>
      <c r="M113" s="15">
        <f t="shared" si="11"/>
        <v>2.357411777634472E-2</v>
      </c>
      <c r="N113" s="15">
        <f t="shared" si="12"/>
        <v>2.399499414878814E-2</v>
      </c>
    </row>
    <row r="114" spans="1:14" ht="15" customHeight="1" x14ac:dyDescent="0.25">
      <c r="A114" s="8" t="s">
        <v>106</v>
      </c>
      <c r="B114" s="20">
        <v>512328.1249</v>
      </c>
      <c r="C114" s="19">
        <v>557138.77819999994</v>
      </c>
      <c r="D114" s="13">
        <v>523072.32339999999</v>
      </c>
      <c r="E114" s="21">
        <v>656637.91810000001</v>
      </c>
      <c r="F114" s="21">
        <v>698357.84820000001</v>
      </c>
      <c r="G114" s="21">
        <v>726656.18169999996</v>
      </c>
      <c r="I114" s="15">
        <f t="shared" si="7"/>
        <v>7.3824145701502147E-3</v>
      </c>
      <c r="J114" s="15">
        <f t="shared" si="8"/>
        <v>7.5467413515642318E-3</v>
      </c>
      <c r="K114" s="15">
        <f t="shared" si="9"/>
        <v>6.9196849268098786E-3</v>
      </c>
      <c r="L114" s="15">
        <f t="shared" si="10"/>
        <v>8.2434304477667555E-3</v>
      </c>
      <c r="M114" s="15">
        <f t="shared" si="11"/>
        <v>8.3940098715668751E-3</v>
      </c>
      <c r="N114" s="15">
        <f t="shared" si="12"/>
        <v>8.380635358926334E-3</v>
      </c>
    </row>
    <row r="115" spans="1:14" ht="15" customHeight="1" x14ac:dyDescent="0.25">
      <c r="A115" s="8" t="s">
        <v>107</v>
      </c>
      <c r="B115" s="20">
        <v>447911.32459999999</v>
      </c>
      <c r="C115" s="19">
        <v>493842.25209999998</v>
      </c>
      <c r="D115" s="13">
        <v>459186.16369999998</v>
      </c>
      <c r="E115" s="21">
        <v>584228.16469999996</v>
      </c>
      <c r="F115" s="21">
        <v>613358.48010000004</v>
      </c>
      <c r="G115" s="21">
        <v>639143.21860000002</v>
      </c>
      <c r="I115" s="15">
        <f t="shared" si="7"/>
        <v>6.4541978629569516E-3</v>
      </c>
      <c r="J115" s="15">
        <f t="shared" si="8"/>
        <v>6.68935620872329E-3</v>
      </c>
      <c r="K115" s="15">
        <f t="shared" si="9"/>
        <v>6.0745396638482198E-3</v>
      </c>
      <c r="L115" s="15">
        <f t="shared" si="10"/>
        <v>7.334398621490254E-3</v>
      </c>
      <c r="M115" s="15">
        <f t="shared" si="11"/>
        <v>7.372348073468182E-3</v>
      </c>
      <c r="N115" s="15">
        <f t="shared" si="12"/>
        <v>7.3713351542484288E-3</v>
      </c>
    </row>
    <row r="116" spans="1:14" ht="15" customHeight="1" x14ac:dyDescent="0.25">
      <c r="A116" s="8" t="s">
        <v>108</v>
      </c>
      <c r="B116" s="20">
        <v>150179.4486</v>
      </c>
      <c r="C116" s="19">
        <v>171623.889</v>
      </c>
      <c r="D116" s="13">
        <v>176289.75030000001</v>
      </c>
      <c r="E116" s="21">
        <v>193565.8198</v>
      </c>
      <c r="F116" s="21">
        <v>198505.2623</v>
      </c>
      <c r="G116" s="21">
        <v>204134.71770000001</v>
      </c>
      <c r="I116" s="15">
        <f t="shared" si="7"/>
        <v>2.1640173466919601E-3</v>
      </c>
      <c r="J116" s="15">
        <f t="shared" si="8"/>
        <v>2.3247369429518013E-3</v>
      </c>
      <c r="K116" s="15">
        <f t="shared" si="9"/>
        <v>2.3321240167569288E-3</v>
      </c>
      <c r="L116" s="15">
        <f t="shared" si="10"/>
        <v>2.4300247192597406E-3</v>
      </c>
      <c r="M116" s="15">
        <f t="shared" si="11"/>
        <v>2.3859617753260783E-3</v>
      </c>
      <c r="N116" s="15">
        <f t="shared" si="12"/>
        <v>2.3543164927582773E-3</v>
      </c>
    </row>
    <row r="117" spans="1:14" ht="15" customHeight="1" x14ac:dyDescent="0.25">
      <c r="A117" s="8" t="s">
        <v>109</v>
      </c>
      <c r="B117" s="20">
        <v>62822.9666</v>
      </c>
      <c r="C117" s="19">
        <v>78354.975300000006</v>
      </c>
      <c r="D117" s="13">
        <v>82549.430999999997</v>
      </c>
      <c r="E117" s="21">
        <v>92151.907999999996</v>
      </c>
      <c r="F117" s="21">
        <v>92789.525800000003</v>
      </c>
      <c r="G117" s="21">
        <v>95613.426200000002</v>
      </c>
      <c r="I117" s="15">
        <f t="shared" si="7"/>
        <v>9.0525029063830002E-4</v>
      </c>
      <c r="J117" s="15">
        <f t="shared" si="8"/>
        <v>1.061359853837049E-3</v>
      </c>
      <c r="K117" s="15">
        <f t="shared" si="9"/>
        <v>1.0920402931940561E-3</v>
      </c>
      <c r="L117" s="15">
        <f t="shared" si="10"/>
        <v>1.1568747757136275E-3</v>
      </c>
      <c r="M117" s="15">
        <f t="shared" si="11"/>
        <v>1.1152966885827134E-3</v>
      </c>
      <c r="N117" s="15">
        <f t="shared" si="12"/>
        <v>1.1027240675572079E-3</v>
      </c>
    </row>
    <row r="118" spans="1:14" ht="15" customHeight="1" x14ac:dyDescent="0.25">
      <c r="A118" s="8" t="s">
        <v>110</v>
      </c>
      <c r="B118" s="20">
        <v>78389.181899999996</v>
      </c>
      <c r="C118" s="19">
        <v>81933.465100000001</v>
      </c>
      <c r="D118" s="13">
        <v>84688.677200000006</v>
      </c>
      <c r="E118" s="21">
        <v>89385.295199999993</v>
      </c>
      <c r="F118" s="21">
        <v>99777.547200000001</v>
      </c>
      <c r="G118" s="21">
        <v>102111.4477</v>
      </c>
      <c r="I118" s="15">
        <f t="shared" si="7"/>
        <v>1.1295523522423655E-3</v>
      </c>
      <c r="J118" s="15">
        <f t="shared" si="8"/>
        <v>1.1098324032385847E-3</v>
      </c>
      <c r="K118" s="15">
        <f t="shared" si="9"/>
        <v>1.1203402223293917E-3</v>
      </c>
      <c r="L118" s="15">
        <f t="shared" si="10"/>
        <v>1.1221427269481647E-3</v>
      </c>
      <c r="M118" s="15">
        <f t="shared" si="11"/>
        <v>1.199290189572942E-3</v>
      </c>
      <c r="N118" s="15">
        <f t="shared" si="12"/>
        <v>1.177666729736949E-3</v>
      </c>
    </row>
    <row r="119" spans="1:14" ht="15" customHeight="1" x14ac:dyDescent="0.25">
      <c r="A119" s="8" t="s">
        <v>111</v>
      </c>
      <c r="B119" s="20">
        <v>1922.4013</v>
      </c>
      <c r="C119" s="19">
        <v>740.97479999999996</v>
      </c>
      <c r="D119" s="13">
        <v>791.67650000000003</v>
      </c>
      <c r="E119" s="21">
        <v>885.64179999999999</v>
      </c>
      <c r="F119" s="21">
        <v>968.74980000000005</v>
      </c>
      <c r="G119" s="21">
        <v>1973.6581000000001</v>
      </c>
      <c r="I119" s="15">
        <f t="shared" si="7"/>
        <v>2.7700925787679149E-5</v>
      </c>
      <c r="J119" s="15">
        <f t="shared" si="8"/>
        <v>1.0036898134596649E-5</v>
      </c>
      <c r="K119" s="15">
        <f t="shared" si="9"/>
        <v>1.0473029634508858E-5</v>
      </c>
      <c r="L119" s="15">
        <f t="shared" si="10"/>
        <v>1.1118344491983968E-5</v>
      </c>
      <c r="M119" s="15">
        <f t="shared" si="11"/>
        <v>1.1644023769816118E-5</v>
      </c>
      <c r="N119" s="15">
        <f t="shared" si="12"/>
        <v>2.2762496591710159E-5</v>
      </c>
    </row>
    <row r="120" spans="1:14" ht="15" customHeight="1" x14ac:dyDescent="0.25">
      <c r="A120" s="8" t="s">
        <v>112</v>
      </c>
      <c r="B120" s="20">
        <v>17994.448499999999</v>
      </c>
      <c r="C120" s="19">
        <v>25630.545900000001</v>
      </c>
      <c r="D120" s="13">
        <v>25733.398000000001</v>
      </c>
      <c r="E120" s="21">
        <v>30631.4031</v>
      </c>
      <c r="F120" s="21">
        <v>37052.308299999997</v>
      </c>
      <c r="G120" s="21">
        <v>40244.379300000001</v>
      </c>
      <c r="I120" s="15">
        <f t="shared" si="7"/>
        <v>2.5929179432448068E-4</v>
      </c>
      <c r="J120" s="15">
        <f t="shared" si="8"/>
        <v>3.4717938900540724E-4</v>
      </c>
      <c r="K120" s="15">
        <f t="shared" si="9"/>
        <v>3.4042521137183051E-4</v>
      </c>
      <c r="L120" s="15">
        <f t="shared" si="10"/>
        <v>3.8454654233644533E-4</v>
      </c>
      <c r="M120" s="15">
        <f t="shared" si="11"/>
        <v>4.453554040184111E-4</v>
      </c>
      <c r="N120" s="15">
        <f t="shared" si="12"/>
        <v>4.6414449729248485E-4</v>
      </c>
    </row>
    <row r="121" spans="1:14" ht="15" customHeight="1" x14ac:dyDescent="0.25">
      <c r="A121" s="8" t="s">
        <v>113</v>
      </c>
      <c r="B121" s="20">
        <v>56056.550199999998</v>
      </c>
      <c r="C121" s="19">
        <v>33576.162199999999</v>
      </c>
      <c r="D121" s="13">
        <v>26849.419699999999</v>
      </c>
      <c r="E121" s="21">
        <v>32089.8616</v>
      </c>
      <c r="F121" s="21">
        <v>31724.138200000001</v>
      </c>
      <c r="G121" s="21">
        <v>40044.972099999999</v>
      </c>
      <c r="I121" s="15">
        <f t="shared" si="7"/>
        <v>8.0774931696285816E-4</v>
      </c>
      <c r="J121" s="15">
        <f t="shared" si="8"/>
        <v>4.5480699175207378E-4</v>
      </c>
      <c r="K121" s="15">
        <f t="shared" si="9"/>
        <v>3.5518897957368431E-4</v>
      </c>
      <c r="L121" s="15">
        <f t="shared" si="10"/>
        <v>4.0285602595641697E-4</v>
      </c>
      <c r="M121" s="15">
        <f t="shared" si="11"/>
        <v>3.8131271797705815E-4</v>
      </c>
      <c r="N121" s="15">
        <f t="shared" si="12"/>
        <v>4.6184470397450211E-4</v>
      </c>
    </row>
    <row r="122" spans="1:14" ht="15" customHeight="1" x14ac:dyDescent="0.25">
      <c r="A122" s="8" t="s">
        <v>114</v>
      </c>
      <c r="B122" s="20">
        <v>37725.058799999999</v>
      </c>
      <c r="C122" s="19">
        <v>41499.330199999997</v>
      </c>
      <c r="D122" s="13">
        <v>43501.023200000003</v>
      </c>
      <c r="E122" s="21">
        <v>41262.481800000001</v>
      </c>
      <c r="F122" s="21">
        <v>34774.1008</v>
      </c>
      <c r="G122" s="21">
        <v>33525.759299999998</v>
      </c>
      <c r="I122" s="15">
        <f t="shared" si="7"/>
        <v>5.4360088819885429E-4</v>
      </c>
      <c r="J122" s="15">
        <f t="shared" si="8"/>
        <v>5.6213052032456489E-4</v>
      </c>
      <c r="K122" s="15">
        <f t="shared" si="9"/>
        <v>5.7547180585132613E-4</v>
      </c>
      <c r="L122" s="15">
        <f t="shared" si="10"/>
        <v>5.1800907234349008E-4</v>
      </c>
      <c r="M122" s="15">
        <f t="shared" si="11"/>
        <v>4.17972170202442E-4</v>
      </c>
      <c r="N122" s="15">
        <f t="shared" si="12"/>
        <v>3.8665763933517415E-4</v>
      </c>
    </row>
    <row r="123" spans="1:14" ht="15" customHeight="1" x14ac:dyDescent="0.25">
      <c r="A123" s="8" t="s">
        <v>115</v>
      </c>
      <c r="B123" s="20">
        <v>482399.14130000002</v>
      </c>
      <c r="C123" s="19">
        <v>613366.03469999996</v>
      </c>
      <c r="D123" s="13">
        <v>685833.51769999997</v>
      </c>
      <c r="E123" s="21">
        <v>773584.60320000001</v>
      </c>
      <c r="F123" s="21">
        <v>837839.07290000003</v>
      </c>
      <c r="G123" s="21">
        <v>909897.69940000004</v>
      </c>
      <c r="I123" s="15">
        <f t="shared" si="7"/>
        <v>6.9511515692334625E-3</v>
      </c>
      <c r="J123" s="15">
        <f t="shared" si="8"/>
        <v>8.3083694742457827E-3</v>
      </c>
      <c r="K123" s="15">
        <f t="shared" si="9"/>
        <v>9.0728406807724545E-3</v>
      </c>
      <c r="L123" s="15">
        <f t="shared" si="10"/>
        <v>9.7115787805773443E-3</v>
      </c>
      <c r="M123" s="15">
        <f t="shared" si="11"/>
        <v>1.0070523968240612E-2</v>
      </c>
      <c r="N123" s="15">
        <f t="shared" si="12"/>
        <v>1.0493987424365655E-2</v>
      </c>
    </row>
    <row r="124" spans="1:14" ht="15" customHeight="1" x14ac:dyDescent="0.25">
      <c r="A124" s="8" t="s">
        <v>116</v>
      </c>
      <c r="B124" s="20">
        <v>16637.830600000001</v>
      </c>
      <c r="C124" s="19">
        <v>18391.877499999999</v>
      </c>
      <c r="D124" s="13">
        <v>18817.383399999999</v>
      </c>
      <c r="E124" s="21">
        <v>20704.659800000001</v>
      </c>
      <c r="F124" s="21">
        <v>23269.5556</v>
      </c>
      <c r="G124" s="21">
        <v>23908.583699999999</v>
      </c>
      <c r="I124" s="15">
        <f t="shared" si="7"/>
        <v>2.3974354923635209E-4</v>
      </c>
      <c r="J124" s="15">
        <f t="shared" si="8"/>
        <v>2.4912777191812743E-4</v>
      </c>
      <c r="K124" s="15">
        <f t="shared" si="9"/>
        <v>2.4893376776008257E-4</v>
      </c>
      <c r="L124" s="15">
        <f t="shared" si="10"/>
        <v>2.5992623682140104E-4</v>
      </c>
      <c r="M124" s="15">
        <f t="shared" si="11"/>
        <v>2.7969167944030311E-4</v>
      </c>
      <c r="N124" s="15">
        <f t="shared" si="12"/>
        <v>2.7574130239876247E-4</v>
      </c>
    </row>
    <row r="125" spans="1:14" ht="15" customHeight="1" x14ac:dyDescent="0.25">
      <c r="A125" s="8" t="s">
        <v>117</v>
      </c>
      <c r="B125" s="20">
        <v>404220.17950000003</v>
      </c>
      <c r="C125" s="19">
        <v>479529.34110000002</v>
      </c>
      <c r="D125" s="13">
        <v>552561.41099999996</v>
      </c>
      <c r="E125" s="21">
        <v>602550.55720000004</v>
      </c>
      <c r="F125" s="21">
        <v>652705.05570000003</v>
      </c>
      <c r="G125" s="21">
        <v>682363.60199999996</v>
      </c>
      <c r="I125" s="15">
        <f t="shared" si="7"/>
        <v>5.8246283927356089E-3</v>
      </c>
      <c r="J125" s="15">
        <f t="shared" si="8"/>
        <v>6.4954802095441716E-3</v>
      </c>
      <c r="K125" s="15">
        <f t="shared" si="9"/>
        <v>7.3097938770306159E-3</v>
      </c>
      <c r="L125" s="15">
        <f t="shared" si="10"/>
        <v>7.5644178817965589E-3</v>
      </c>
      <c r="M125" s="15">
        <f t="shared" si="11"/>
        <v>7.8452797443157689E-3</v>
      </c>
      <c r="N125" s="15">
        <f t="shared" si="12"/>
        <v>7.8698023557535451E-3</v>
      </c>
    </row>
    <row r="126" spans="1:14" ht="15" customHeight="1" x14ac:dyDescent="0.25">
      <c r="A126" s="8" t="s">
        <v>118</v>
      </c>
      <c r="B126" s="20">
        <v>264789.91889999999</v>
      </c>
      <c r="C126" s="19">
        <v>309808.22570000001</v>
      </c>
      <c r="D126" s="13">
        <v>360996.886</v>
      </c>
      <c r="E126" s="21">
        <v>347009.59960000002</v>
      </c>
      <c r="F126" s="21">
        <v>340077.18329999998</v>
      </c>
      <c r="G126" s="21">
        <v>349899.75030000001</v>
      </c>
      <c r="I126" s="15">
        <f t="shared" si="7"/>
        <v>3.8155019416468766E-3</v>
      </c>
      <c r="J126" s="15">
        <f t="shared" si="8"/>
        <v>4.1965173479732755E-3</v>
      </c>
      <c r="K126" s="15">
        <f t="shared" si="9"/>
        <v>4.7756009999582096E-3</v>
      </c>
      <c r="L126" s="15">
        <f t="shared" si="10"/>
        <v>4.3563574691011901E-3</v>
      </c>
      <c r="M126" s="15">
        <f t="shared" si="11"/>
        <v>4.0876052887105756E-3</v>
      </c>
      <c r="N126" s="15">
        <f t="shared" si="12"/>
        <v>4.0354466022478695E-3</v>
      </c>
    </row>
    <row r="127" spans="1:14" s="25" customFormat="1" ht="15" customHeight="1" x14ac:dyDescent="0.25">
      <c r="A127" s="22" t="s">
        <v>144</v>
      </c>
      <c r="B127" s="23">
        <v>120273.6865</v>
      </c>
      <c r="C127" s="24">
        <v>143892.5153</v>
      </c>
      <c r="D127" s="16">
        <v>162184.6556</v>
      </c>
      <c r="E127" s="27">
        <v>228067.655</v>
      </c>
      <c r="F127" s="27">
        <v>284574.13429999998</v>
      </c>
      <c r="G127" s="27">
        <v>302614.76240000001</v>
      </c>
      <c r="I127" s="15">
        <f t="shared" si="7"/>
        <v>1.7330889569972135E-3</v>
      </c>
      <c r="J127" s="15">
        <f t="shared" si="8"/>
        <v>1.949100722989486E-3</v>
      </c>
      <c r="K127" s="15">
        <f t="shared" si="9"/>
        <v>2.1455287663097399E-3</v>
      </c>
      <c r="L127" s="26">
        <f t="shared" si="10"/>
        <v>2.8631606545320579E-3</v>
      </c>
      <c r="M127" s="26">
        <f t="shared" si="11"/>
        <v>3.4204786251971807E-3</v>
      </c>
      <c r="N127" s="26">
        <f t="shared" si="12"/>
        <v>3.4901017039026057E-3</v>
      </c>
    </row>
    <row r="128" spans="1:14" ht="15" customHeight="1" x14ac:dyDescent="0.25">
      <c r="A128" s="8" t="s">
        <v>119</v>
      </c>
      <c r="B128" s="20">
        <v>14629.024600000001</v>
      </c>
      <c r="C128" s="19">
        <v>19234.935700000002</v>
      </c>
      <c r="D128" s="13">
        <v>23020.3148</v>
      </c>
      <c r="E128" s="21">
        <v>157074.71</v>
      </c>
      <c r="F128" s="21">
        <v>177911.644</v>
      </c>
      <c r="G128" s="21">
        <v>174212.43369999999</v>
      </c>
      <c r="I128" s="15">
        <f t="shared" si="7"/>
        <v>2.1079757113706313E-4</v>
      </c>
      <c r="J128" s="15">
        <f t="shared" si="8"/>
        <v>2.6054744405129099E-4</v>
      </c>
      <c r="K128" s="15">
        <f t="shared" si="9"/>
        <v>3.0453403517234986E-4</v>
      </c>
      <c r="L128" s="15">
        <f t="shared" si="10"/>
        <v>1.9719154366454688E-3</v>
      </c>
      <c r="M128" s="15">
        <f t="shared" si="11"/>
        <v>2.1384338986837085E-3</v>
      </c>
      <c r="N128" s="15">
        <f t="shared" si="12"/>
        <v>2.0092182776387572E-3</v>
      </c>
    </row>
    <row r="129" spans="1:14" ht="15" customHeight="1" x14ac:dyDescent="0.25">
      <c r="A129" s="8" t="s">
        <v>120</v>
      </c>
      <c r="B129" s="20">
        <v>19156.574100000002</v>
      </c>
      <c r="C129" s="19">
        <v>25828.6001</v>
      </c>
      <c r="D129" s="13">
        <v>29379.8694</v>
      </c>
      <c r="E129" s="21">
        <v>27473.302599999999</v>
      </c>
      <c r="F129" s="21">
        <v>28053.738099999999</v>
      </c>
      <c r="G129" s="21">
        <v>29849.0893</v>
      </c>
      <c r="I129" s="15">
        <f t="shared" si="7"/>
        <v>2.76037494091518E-4</v>
      </c>
      <c r="J129" s="15">
        <f t="shared" si="8"/>
        <v>3.4986213858141039E-4</v>
      </c>
      <c r="K129" s="15">
        <f t="shared" si="9"/>
        <v>3.8866411076266628E-4</v>
      </c>
      <c r="L129" s="15">
        <f t="shared" si="10"/>
        <v>3.4489975816331031E-4</v>
      </c>
      <c r="M129" s="15">
        <f t="shared" si="11"/>
        <v>3.3719583040801247E-4</v>
      </c>
      <c r="N129" s="15">
        <f t="shared" si="12"/>
        <v>3.4425404960307062E-4</v>
      </c>
    </row>
    <row r="130" spans="1:14" ht="15" customHeight="1" x14ac:dyDescent="0.25">
      <c r="A130" s="8" t="s">
        <v>121</v>
      </c>
      <c r="B130" s="20">
        <v>1317450.6470000001</v>
      </c>
      <c r="C130" s="19">
        <v>1590828.9750000001</v>
      </c>
      <c r="D130" s="13">
        <v>1650977.9154000001</v>
      </c>
      <c r="E130" s="21">
        <v>1908532.4796</v>
      </c>
      <c r="F130" s="21">
        <v>2207600.0866</v>
      </c>
      <c r="G130" s="21">
        <v>2552454.9468999999</v>
      </c>
      <c r="I130" s="15">
        <f t="shared" si="7"/>
        <v>1.8983862839396168E-2</v>
      </c>
      <c r="J130" s="15">
        <f t="shared" si="8"/>
        <v>2.1548625367070244E-2</v>
      </c>
      <c r="K130" s="15">
        <f t="shared" si="9"/>
        <v>2.1840664253522567E-2</v>
      </c>
      <c r="L130" s="15">
        <f t="shared" si="10"/>
        <v>2.395971100543489E-2</v>
      </c>
      <c r="M130" s="15">
        <f t="shared" si="11"/>
        <v>2.6534558131127893E-2</v>
      </c>
      <c r="N130" s="15">
        <f t="shared" si="12"/>
        <v>2.9437847937950842E-2</v>
      </c>
    </row>
    <row r="131" spans="1:14" s="25" customFormat="1" ht="15" customHeight="1" x14ac:dyDescent="0.25">
      <c r="A131" s="22" t="s">
        <v>122</v>
      </c>
      <c r="B131" s="23">
        <v>52816.701500000003</v>
      </c>
      <c r="C131" s="24">
        <v>104670.4868</v>
      </c>
      <c r="D131" s="16">
        <v>139588.67540000001</v>
      </c>
      <c r="E131" s="27">
        <v>245107.17050000001</v>
      </c>
      <c r="F131" s="27">
        <v>407090.0723</v>
      </c>
      <c r="G131" s="27">
        <v>692201.89839999995</v>
      </c>
      <c r="I131" s="15">
        <f t="shared" si="7"/>
        <v>7.610645751235718E-4</v>
      </c>
      <c r="J131" s="15">
        <f t="shared" si="8"/>
        <v>1.4178174665457493E-3</v>
      </c>
      <c r="K131" s="15">
        <f t="shared" si="9"/>
        <v>1.8466082220528683E-3</v>
      </c>
      <c r="L131" s="26">
        <f t="shared" si="10"/>
        <v>3.077074680841002E-3</v>
      </c>
      <c r="M131" s="26">
        <f t="shared" si="11"/>
        <v>4.893076084575565E-3</v>
      </c>
      <c r="N131" s="26">
        <f t="shared" si="12"/>
        <v>7.9832689122322151E-3</v>
      </c>
    </row>
    <row r="132" spans="1:14" ht="15" customHeight="1" x14ac:dyDescent="0.25">
      <c r="A132" s="8" t="s">
        <v>123</v>
      </c>
      <c r="B132" s="20">
        <v>419340.62479999999</v>
      </c>
      <c r="C132" s="19">
        <v>510397.20929999999</v>
      </c>
      <c r="D132" s="13">
        <v>519624.18650000001</v>
      </c>
      <c r="E132" s="21">
        <v>597895.19559999998</v>
      </c>
      <c r="F132" s="21">
        <v>639545.36670000001</v>
      </c>
      <c r="G132" s="21">
        <v>667616.47409999999</v>
      </c>
      <c r="I132" s="15">
        <f t="shared" si="7"/>
        <v>6.0425071119873906E-3</v>
      </c>
      <c r="J132" s="15">
        <f t="shared" si="8"/>
        <v>6.9136019172669648E-3</v>
      </c>
      <c r="K132" s="15">
        <f t="shared" si="9"/>
        <v>6.8740697797927026E-3</v>
      </c>
      <c r="L132" s="15">
        <f t="shared" si="10"/>
        <v>7.5059744862798223E-3</v>
      </c>
      <c r="M132" s="15">
        <f t="shared" si="11"/>
        <v>7.6871050210596849E-3</v>
      </c>
      <c r="N132" s="15">
        <f t="shared" si="12"/>
        <v>7.6997215050929046E-3</v>
      </c>
    </row>
    <row r="133" spans="1:14" ht="15" customHeight="1" x14ac:dyDescent="0.25">
      <c r="A133" s="8" t="s">
        <v>124</v>
      </c>
      <c r="B133" s="20">
        <v>93467.214999999997</v>
      </c>
      <c r="C133" s="19">
        <v>98563.167000000001</v>
      </c>
      <c r="D133" s="13">
        <v>101606.637</v>
      </c>
      <c r="E133" s="21">
        <v>105328.5667</v>
      </c>
      <c r="F133" s="21">
        <v>108221.3958</v>
      </c>
      <c r="G133" s="21">
        <v>106174.71920000001</v>
      </c>
      <c r="I133" s="15">
        <f t="shared" si="7"/>
        <v>1.3468199310393992E-3</v>
      </c>
      <c r="J133" s="15">
        <f t="shared" si="8"/>
        <v>1.3350905685351757E-3</v>
      </c>
      <c r="K133" s="15">
        <f t="shared" si="9"/>
        <v>1.3441466563221015E-3</v>
      </c>
      <c r="L133" s="15">
        <f t="shared" si="10"/>
        <v>1.3222945093801027E-3</v>
      </c>
      <c r="M133" s="15">
        <f t="shared" si="11"/>
        <v>1.3007822092947819E-3</v>
      </c>
      <c r="N133" s="15">
        <f t="shared" si="12"/>
        <v>1.2245290528870138E-3</v>
      </c>
    </row>
    <row r="134" spans="1:14" ht="15" customHeight="1" x14ac:dyDescent="0.25">
      <c r="A134" s="8" t="s">
        <v>125</v>
      </c>
      <c r="B134" s="20">
        <v>758962.24100000004</v>
      </c>
      <c r="C134" s="19">
        <v>899451.84539999999</v>
      </c>
      <c r="D134" s="13">
        <v>927268.99329999997</v>
      </c>
      <c r="E134" s="21">
        <v>1006218.8453</v>
      </c>
      <c r="F134" s="21">
        <v>1087310.7442999999</v>
      </c>
      <c r="G134" s="21">
        <v>1136408.8875</v>
      </c>
      <c r="I134" s="15">
        <f t="shared" si="7"/>
        <v>1.0936299675614897E-2</v>
      </c>
      <c r="J134" s="15">
        <f t="shared" si="8"/>
        <v>1.2183554082075091E-2</v>
      </c>
      <c r="K134" s="15">
        <f t="shared" si="9"/>
        <v>1.2266772660287497E-2</v>
      </c>
      <c r="L134" s="15">
        <f t="shared" si="10"/>
        <v>1.2632068355820293E-2</v>
      </c>
      <c r="M134" s="15">
        <f t="shared" si="11"/>
        <v>1.3069083629029553E-2</v>
      </c>
      <c r="N134" s="15">
        <f t="shared" si="12"/>
        <v>1.310637512571599E-2</v>
      </c>
    </row>
    <row r="135" spans="1:14" ht="15" customHeight="1" x14ac:dyDescent="0.25">
      <c r="A135" s="8" t="s">
        <v>126</v>
      </c>
      <c r="B135" s="20">
        <v>339999.79960000003</v>
      </c>
      <c r="C135" s="19">
        <v>423730.2452</v>
      </c>
      <c r="D135" s="13">
        <v>467646.91200000001</v>
      </c>
      <c r="E135" s="21">
        <v>529377.84569999995</v>
      </c>
      <c r="F135" s="21">
        <v>566063.72230000002</v>
      </c>
      <c r="G135" s="21">
        <v>592959.25040000002</v>
      </c>
      <c r="I135" s="15">
        <f t="shared" si="7"/>
        <v>4.8992420139048927E-3</v>
      </c>
      <c r="J135" s="15">
        <f t="shared" si="8"/>
        <v>5.7396517501270769E-3</v>
      </c>
      <c r="K135" s="15">
        <f t="shared" si="9"/>
        <v>6.1864662748768668E-3</v>
      </c>
      <c r="L135" s="15">
        <f t="shared" si="10"/>
        <v>6.6458078818286736E-3</v>
      </c>
      <c r="M135" s="15">
        <f t="shared" si="11"/>
        <v>6.8038821145478328E-3</v>
      </c>
      <c r="N135" s="15">
        <f t="shared" si="12"/>
        <v>6.8386884821910188E-3</v>
      </c>
    </row>
    <row r="136" spans="1:14" ht="15" customHeight="1" x14ac:dyDescent="0.25">
      <c r="A136" s="8" t="s">
        <v>127</v>
      </c>
      <c r="B136" s="20">
        <v>10813.9036</v>
      </c>
      <c r="C136" s="19">
        <v>11953.528399999999</v>
      </c>
      <c r="D136" s="13">
        <v>12291.634599999999</v>
      </c>
      <c r="E136" s="21">
        <v>13559.427600000001</v>
      </c>
      <c r="F136" s="21">
        <v>13867.102199999999</v>
      </c>
      <c r="G136" s="21">
        <v>14046.143599999999</v>
      </c>
      <c r="I136" s="15">
        <f t="shared" si="7"/>
        <v>1.55823417877795E-4</v>
      </c>
      <c r="J136" s="15">
        <f t="shared" si="8"/>
        <v>1.619169058108428E-4</v>
      </c>
      <c r="K136" s="15">
        <f t="shared" si="9"/>
        <v>1.6260512143830773E-4</v>
      </c>
      <c r="L136" s="15">
        <f t="shared" si="10"/>
        <v>1.7022501328518529E-4</v>
      </c>
      <c r="M136" s="15">
        <f t="shared" si="11"/>
        <v>1.6667757519564841E-4</v>
      </c>
      <c r="N136" s="15">
        <f t="shared" si="12"/>
        <v>1.6199629298593887E-4</v>
      </c>
    </row>
    <row r="137" spans="1:14" ht="15" customHeight="1" x14ac:dyDescent="0.25">
      <c r="A137" s="8" t="s">
        <v>128</v>
      </c>
      <c r="B137" s="20">
        <v>2109902.6512000002</v>
      </c>
      <c r="C137" s="19">
        <v>2443524.9097000002</v>
      </c>
      <c r="D137" s="13">
        <v>2542268.3429999999</v>
      </c>
      <c r="E137" s="21">
        <v>2853759.298</v>
      </c>
      <c r="F137" s="21">
        <v>3041831.6101000002</v>
      </c>
      <c r="G137" s="21">
        <v>3085048.1017</v>
      </c>
      <c r="I137" s="15">
        <f t="shared" si="7"/>
        <v>3.0402734725636468E-2</v>
      </c>
      <c r="J137" s="15">
        <f t="shared" si="8"/>
        <v>3.3098845747532003E-2</v>
      </c>
      <c r="K137" s="15">
        <f t="shared" si="9"/>
        <v>3.3631479139664661E-2</v>
      </c>
      <c r="L137" s="15">
        <f t="shared" si="10"/>
        <v>3.5826085639099621E-2</v>
      </c>
      <c r="M137" s="15">
        <f t="shared" si="11"/>
        <v>3.6561720654582262E-2</v>
      </c>
      <c r="N137" s="15">
        <f t="shared" si="12"/>
        <v>3.558032513342009E-2</v>
      </c>
    </row>
    <row r="138" spans="1:14" ht="15" customHeight="1" x14ac:dyDescent="0.25">
      <c r="A138" s="8" t="s">
        <v>129</v>
      </c>
      <c r="B138" s="20">
        <v>63513.459600000002</v>
      </c>
      <c r="C138" s="19">
        <v>105240.9556</v>
      </c>
      <c r="D138" s="13">
        <v>95730.967000000004</v>
      </c>
      <c r="E138" s="21">
        <v>104561.5272</v>
      </c>
      <c r="F138" s="21">
        <v>109334.3918</v>
      </c>
      <c r="G138" s="21">
        <v>105338.93889999999</v>
      </c>
      <c r="I138" s="15">
        <f t="shared" si="7"/>
        <v>9.1519997978484397E-4</v>
      </c>
      <c r="J138" s="15">
        <f t="shared" si="8"/>
        <v>1.4255447701390235E-3</v>
      </c>
      <c r="K138" s="15">
        <f t="shared" si="9"/>
        <v>1.2664178541755243E-3</v>
      </c>
      <c r="L138" s="15">
        <f t="shared" si="10"/>
        <v>1.3126650978054016E-3</v>
      </c>
      <c r="M138" s="15">
        <f t="shared" si="11"/>
        <v>1.3141600204486115E-3</v>
      </c>
      <c r="N138" s="15">
        <f t="shared" si="12"/>
        <v>1.2148898726104659E-3</v>
      </c>
    </row>
    <row r="139" spans="1:14" ht="15" customHeight="1" x14ac:dyDescent="0.25">
      <c r="A139" s="8" t="s">
        <v>130</v>
      </c>
      <c r="B139" s="20">
        <v>3392.2003</v>
      </c>
      <c r="C139" s="19">
        <v>5229.7821000000004</v>
      </c>
      <c r="D139" s="13">
        <v>6270.2290999999996</v>
      </c>
      <c r="E139" s="21">
        <v>7981.2764999999999</v>
      </c>
      <c r="F139" s="21">
        <v>5930.2722999999996</v>
      </c>
      <c r="G139" s="21">
        <v>5822.2752</v>
      </c>
      <c r="I139" s="15">
        <f t="shared" si="7"/>
        <v>4.8880058896778181E-5</v>
      </c>
      <c r="J139" s="15">
        <f t="shared" si="8"/>
        <v>7.0840182694252162E-5</v>
      </c>
      <c r="K139" s="15">
        <f t="shared" si="9"/>
        <v>8.2948395183461671E-5</v>
      </c>
      <c r="L139" s="15">
        <f t="shared" si="10"/>
        <v>1.0019692116245652E-4</v>
      </c>
      <c r="M139" s="15">
        <f t="shared" si="11"/>
        <v>7.1279737681166064E-5</v>
      </c>
      <c r="N139" s="15">
        <f t="shared" si="12"/>
        <v>6.7149178166166963E-5</v>
      </c>
    </row>
    <row r="140" spans="1:14" ht="15" customHeight="1" x14ac:dyDescent="0.25">
      <c r="A140" s="8" t="s">
        <v>131</v>
      </c>
      <c r="B140" s="20">
        <v>10825.8843</v>
      </c>
      <c r="C140" s="19">
        <v>13449.2742</v>
      </c>
      <c r="D140" s="13">
        <v>14220.0915</v>
      </c>
      <c r="E140" s="21">
        <v>16506.5749</v>
      </c>
      <c r="F140" s="21">
        <v>17234.4866</v>
      </c>
      <c r="G140" s="21">
        <v>18564.1083</v>
      </c>
      <c r="I140" s="15">
        <f t="shared" si="7"/>
        <v>1.5599605429953716E-4</v>
      </c>
      <c r="J140" s="15">
        <f t="shared" si="8"/>
        <v>1.8217757895364167E-4</v>
      </c>
      <c r="K140" s="15">
        <f t="shared" si="9"/>
        <v>1.8811653457558424E-4</v>
      </c>
      <c r="L140" s="15">
        <f t="shared" si="10"/>
        <v>2.0722349162035467E-4</v>
      </c>
      <c r="M140" s="15">
        <f t="shared" si="11"/>
        <v>2.0715232316019817E-4</v>
      </c>
      <c r="N140" s="15">
        <f t="shared" si="12"/>
        <v>2.1410266140163195E-4</v>
      </c>
    </row>
    <row r="141" spans="1:14" ht="15" customHeight="1" x14ac:dyDescent="0.25">
      <c r="A141" s="8" t="s">
        <v>132</v>
      </c>
      <c r="B141" s="20">
        <v>336872.2035</v>
      </c>
      <c r="C141" s="19">
        <v>344158.97460000002</v>
      </c>
      <c r="D141" s="13">
        <v>328577.24599999998</v>
      </c>
      <c r="E141" s="21">
        <v>334993.14549999998</v>
      </c>
      <c r="F141" s="21">
        <v>343327.1201</v>
      </c>
      <c r="G141" s="21">
        <v>341886.63660000003</v>
      </c>
      <c r="I141" s="15">
        <f t="shared" si="7"/>
        <v>4.8541747808251313E-3</v>
      </c>
      <c r="J141" s="15">
        <f t="shared" si="8"/>
        <v>4.6618165289392241E-3</v>
      </c>
      <c r="K141" s="15">
        <f t="shared" si="9"/>
        <v>4.3467239896388321E-3</v>
      </c>
      <c r="L141" s="15">
        <f t="shared" si="10"/>
        <v>4.2055029404916401E-3</v>
      </c>
      <c r="M141" s="15">
        <f t="shared" si="11"/>
        <v>4.1266683588135067E-3</v>
      </c>
      <c r="N141" s="15">
        <f t="shared" si="12"/>
        <v>3.9430301531753397E-3</v>
      </c>
    </row>
    <row r="142" spans="1:14" ht="15" customHeight="1" x14ac:dyDescent="0.25">
      <c r="A142" s="8" t="s">
        <v>133</v>
      </c>
      <c r="B142" s="20">
        <v>78601.119000000006</v>
      </c>
      <c r="C142" s="19">
        <v>77693.966499999995</v>
      </c>
      <c r="D142" s="13">
        <v>59920.415000000001</v>
      </c>
      <c r="E142" s="21">
        <v>66129.783899999995</v>
      </c>
      <c r="F142" s="21">
        <v>73256.997000000003</v>
      </c>
      <c r="G142" s="21">
        <v>70712.122099999993</v>
      </c>
      <c r="I142" s="15">
        <f t="shared" si="7"/>
        <v>1.1326062691736306E-3</v>
      </c>
      <c r="J142" s="15">
        <f t="shared" si="8"/>
        <v>1.0524061377435029E-3</v>
      </c>
      <c r="K142" s="15">
        <f t="shared" si="9"/>
        <v>7.926827207919763E-4</v>
      </c>
      <c r="L142" s="15">
        <f t="shared" si="10"/>
        <v>8.3019310807219693E-4</v>
      </c>
      <c r="M142" s="15">
        <f t="shared" si="11"/>
        <v>8.8052272565459935E-4</v>
      </c>
      <c r="N142" s="15">
        <f t="shared" si="12"/>
        <v>8.1553357103433582E-4</v>
      </c>
    </row>
    <row r="143" spans="1:14" ht="15" customHeight="1" x14ac:dyDescent="0.25">
      <c r="A143" s="8" t="s">
        <v>134</v>
      </c>
      <c r="B143" s="20">
        <v>154263.9037</v>
      </c>
      <c r="C143" s="19">
        <v>164117.69620000001</v>
      </c>
      <c r="D143" s="13">
        <v>137808.4823</v>
      </c>
      <c r="E143" s="21">
        <v>152915.98300000001</v>
      </c>
      <c r="F143" s="21">
        <v>170554.99069999999</v>
      </c>
      <c r="G143" s="21">
        <v>168573.68710000001</v>
      </c>
      <c r="I143" s="15">
        <f t="shared" si="7"/>
        <v>2.2228724814695989E-3</v>
      </c>
      <c r="J143" s="15">
        <f t="shared" si="8"/>
        <v>2.2230615654460582E-3</v>
      </c>
      <c r="K143" s="15">
        <f t="shared" si="9"/>
        <v>1.823058179716828E-3</v>
      </c>
      <c r="L143" s="15">
        <f t="shared" si="10"/>
        <v>1.9197067904025806E-3</v>
      </c>
      <c r="M143" s="15">
        <f t="shared" si="11"/>
        <v>2.0500095749919813E-3</v>
      </c>
      <c r="N143" s="15">
        <f t="shared" si="12"/>
        <v>1.9441857625015016E-3</v>
      </c>
    </row>
    <row r="144" spans="1:14" ht="15" customHeight="1" x14ac:dyDescent="0.25">
      <c r="A144" s="8" t="s">
        <v>135</v>
      </c>
      <c r="B144" s="20">
        <v>338943.45270000002</v>
      </c>
      <c r="C144" s="19">
        <v>370129.11540000001</v>
      </c>
      <c r="D144" s="13">
        <v>351638.60009999998</v>
      </c>
      <c r="E144" s="21">
        <v>372455.99</v>
      </c>
      <c r="F144" s="21">
        <v>381888.79950000002</v>
      </c>
      <c r="G144" s="21">
        <v>381509.84049999999</v>
      </c>
      <c r="I144" s="15">
        <f t="shared" si="7"/>
        <v>4.8840205369515919E-3</v>
      </c>
      <c r="J144" s="15">
        <f t="shared" si="8"/>
        <v>5.0135959116533631E-3</v>
      </c>
      <c r="K144" s="15">
        <f t="shared" si="9"/>
        <v>4.6518009306636098E-3</v>
      </c>
      <c r="L144" s="15">
        <f t="shared" si="10"/>
        <v>4.6758113776054107E-3</v>
      </c>
      <c r="M144" s="15">
        <f t="shared" si="11"/>
        <v>4.5901658599615111E-3</v>
      </c>
      <c r="N144" s="15">
        <f t="shared" si="12"/>
        <v>4.4000105408759172E-3</v>
      </c>
    </row>
    <row r="145" spans="1:14" ht="15" customHeight="1" x14ac:dyDescent="0.25">
      <c r="A145" s="8" t="s">
        <v>136</v>
      </c>
      <c r="B145" s="20">
        <v>517734.41580000002</v>
      </c>
      <c r="C145" s="19">
        <v>687825.44850000006</v>
      </c>
      <c r="D145" s="13">
        <v>728065.57499999995</v>
      </c>
      <c r="E145" s="21">
        <v>961404.28760000004</v>
      </c>
      <c r="F145" s="21">
        <v>1059330.9479</v>
      </c>
      <c r="G145" s="21">
        <v>1082915.567</v>
      </c>
      <c r="I145" s="15">
        <f t="shared" ref="I145:I150" si="13">B145/B$16</f>
        <v>7.4603167558215961E-3</v>
      </c>
      <c r="J145" s="15">
        <f t="shared" ref="J145:J150" si="14">C145/C$16</f>
        <v>9.3169618737071139E-3</v>
      </c>
      <c r="K145" s="15">
        <f t="shared" ref="K145:K150" si="15">D145/D$16</f>
        <v>9.631525430956623E-3</v>
      </c>
      <c r="L145" s="15">
        <f t="shared" ref="L145:L150" si="16">E145/E$16</f>
        <v>1.2069466533317681E-2</v>
      </c>
      <c r="M145" s="15">
        <f t="shared" ref="M145:M150" si="17">F145/F$16</f>
        <v>1.2732776551230708E-2</v>
      </c>
      <c r="N145" s="15">
        <f t="shared" ref="N145:N150" si="18">G145/G$16</f>
        <v>1.2489428590973975E-2</v>
      </c>
    </row>
    <row r="146" spans="1:14" ht="15" customHeight="1" x14ac:dyDescent="0.25">
      <c r="A146" s="8" t="s">
        <v>137</v>
      </c>
      <c r="B146" s="20">
        <v>423917.40789999999</v>
      </c>
      <c r="C146" s="19">
        <v>578599.07869999995</v>
      </c>
      <c r="D146" s="13">
        <v>616826.14029999997</v>
      </c>
      <c r="E146" s="21">
        <v>838026.8014</v>
      </c>
      <c r="F146" s="21">
        <v>645852.06720000005</v>
      </c>
      <c r="G146" s="21">
        <v>947692.19290000002</v>
      </c>
      <c r="I146" s="15">
        <f t="shared" si="13"/>
        <v>6.1084564686588643E-3</v>
      </c>
      <c r="J146" s="15">
        <f t="shared" si="14"/>
        <v>7.837432546536495E-3</v>
      </c>
      <c r="K146" s="15">
        <f t="shared" si="15"/>
        <v>8.1599472091209192E-3</v>
      </c>
      <c r="L146" s="15">
        <f t="shared" si="16"/>
        <v>1.0520585942850295E-2</v>
      </c>
      <c r="M146" s="15">
        <f t="shared" si="17"/>
        <v>7.762909290161068E-3</v>
      </c>
      <c r="N146" s="15">
        <f t="shared" si="18"/>
        <v>1.0929877019163843E-2</v>
      </c>
    </row>
    <row r="147" spans="1:14" ht="15" customHeight="1" x14ac:dyDescent="0.25">
      <c r="A147" s="8" t="s">
        <v>138</v>
      </c>
      <c r="B147" s="20">
        <v>397886.92190000002</v>
      </c>
      <c r="C147" s="19">
        <v>451141.641</v>
      </c>
      <c r="D147" s="13">
        <v>515298.36310000002</v>
      </c>
      <c r="E147" s="21">
        <v>543365.47219999996</v>
      </c>
      <c r="F147" s="21">
        <v>588942.75080000004</v>
      </c>
      <c r="G147" s="21">
        <v>611835.88130000001</v>
      </c>
      <c r="I147" s="15">
        <f t="shared" si="13"/>
        <v>5.7333690397733238E-3</v>
      </c>
      <c r="J147" s="15">
        <f t="shared" si="14"/>
        <v>6.1109536990890537E-3</v>
      </c>
      <c r="K147" s="15">
        <f t="shared" si="15"/>
        <v>6.8168437832374787E-3</v>
      </c>
      <c r="L147" s="15">
        <f t="shared" si="16"/>
        <v>6.8214085028158533E-3</v>
      </c>
      <c r="M147" s="15">
        <f t="shared" si="17"/>
        <v>7.0788797988666323E-3</v>
      </c>
      <c r="N147" s="15">
        <f t="shared" si="18"/>
        <v>7.0563955138821816E-3</v>
      </c>
    </row>
    <row r="148" spans="1:14" ht="15" customHeight="1" x14ac:dyDescent="0.25">
      <c r="A148" s="8" t="s">
        <v>139</v>
      </c>
      <c r="B148" s="20">
        <v>454952.19770000002</v>
      </c>
      <c r="C148" s="19">
        <v>485028.7746</v>
      </c>
      <c r="D148" s="13">
        <v>522957.59179999999</v>
      </c>
      <c r="E148" s="21">
        <v>536978.87549999997</v>
      </c>
      <c r="F148" s="21">
        <v>559007.6</v>
      </c>
      <c r="G148" s="21">
        <v>561561.23739999998</v>
      </c>
      <c r="I148" s="15">
        <f t="shared" si="13"/>
        <v>6.5556536324799779E-3</v>
      </c>
      <c r="J148" s="15">
        <f t="shared" si="14"/>
        <v>6.5699729640042266E-3</v>
      </c>
      <c r="K148" s="15">
        <f t="shared" si="15"/>
        <v>6.9181671509925911E-3</v>
      </c>
      <c r="L148" s="15">
        <f t="shared" si="16"/>
        <v>6.7412311870636296E-3</v>
      </c>
      <c r="M148" s="15">
        <f t="shared" si="17"/>
        <v>6.7190700652612883E-3</v>
      </c>
      <c r="N148" s="15">
        <f t="shared" si="18"/>
        <v>6.4765704619022101E-3</v>
      </c>
    </row>
    <row r="149" spans="1:14" ht="15" customHeight="1" x14ac:dyDescent="0.25">
      <c r="A149" s="8" t="s">
        <v>140</v>
      </c>
      <c r="B149" s="20">
        <v>0</v>
      </c>
      <c r="C149" s="19">
        <v>0</v>
      </c>
      <c r="D149" s="13">
        <v>0</v>
      </c>
      <c r="E149" s="21">
        <v>0</v>
      </c>
      <c r="F149" s="21">
        <v>0</v>
      </c>
      <c r="G149" s="21">
        <v>0</v>
      </c>
      <c r="I149" s="15">
        <f t="shared" si="13"/>
        <v>0</v>
      </c>
      <c r="J149" s="15">
        <f t="shared" si="14"/>
        <v>0</v>
      </c>
      <c r="K149" s="15">
        <f t="shared" si="15"/>
        <v>0</v>
      </c>
      <c r="L149" s="15">
        <f t="shared" si="16"/>
        <v>0</v>
      </c>
      <c r="M149" s="15">
        <f t="shared" si="17"/>
        <v>0</v>
      </c>
      <c r="N149" s="15">
        <f t="shared" si="18"/>
        <v>0</v>
      </c>
    </row>
    <row r="150" spans="1:14" ht="15" customHeight="1" x14ac:dyDescent="0.25">
      <c r="A150" s="8" t="s">
        <v>141</v>
      </c>
      <c r="B150" s="20">
        <v>24163.863000000001</v>
      </c>
      <c r="C150" s="19">
        <v>36629.763400000003</v>
      </c>
      <c r="D150" s="13">
        <v>46358.174099999997</v>
      </c>
      <c r="E150" s="21">
        <v>58971.633300000001</v>
      </c>
      <c r="F150" s="21">
        <v>61001.961499999998</v>
      </c>
      <c r="G150" s="21">
        <v>46901.902199999997</v>
      </c>
      <c r="I150" s="15">
        <f t="shared" si="13"/>
        <v>3.4819024295637237E-4</v>
      </c>
      <c r="J150" s="15">
        <f t="shared" si="14"/>
        <v>4.9616964563461085E-4</v>
      </c>
      <c r="K150" s="15">
        <f t="shared" si="15"/>
        <v>6.1326884295671391E-4</v>
      </c>
      <c r="L150" s="15">
        <f t="shared" si="16"/>
        <v>7.4032970698125746E-4</v>
      </c>
      <c r="M150" s="15">
        <f t="shared" si="17"/>
        <v>7.3322161172204383E-4</v>
      </c>
      <c r="N150" s="15">
        <f t="shared" si="18"/>
        <v>5.4092671317905721E-4</v>
      </c>
    </row>
  </sheetData>
  <mergeCells count="2">
    <mergeCell ref="A14:A15"/>
    <mergeCell ref="A9:D9"/>
  </mergeCells>
  <phoneticPr fontId="5" type="noConversion"/>
  <conditionalFormatting sqref="L16:N150">
    <cfRule type="cellIs" dxfId="1" priority="2" operator="greaterThan">
      <formula>0.035</formula>
    </cfRule>
  </conditionalFormatting>
  <conditionalFormatting sqref="I16:K150">
    <cfRule type="cellIs" dxfId="0" priority="1" operator="greaterThan">
      <formula>0.035</formula>
    </cfRule>
  </conditionalFormatting>
  <printOptions horizontalCentered="1"/>
  <pageMargins left="0.39305555555555599" right="0.39305555555555599" top="0.39305555555555599" bottom="0.39305555555555599" header="0.51111111111111096" footer="0.51111111111111096"/>
  <pageSetup paperSize="9" scale="75" orientation="landscape" blackAndWhite="1"/>
  <headerFooter scaleWithDoc="0" alignWithMargins="0">
    <oddFooter>&amp;C&amp;10单位负责人：                                统计负责人：                             填表人：于佰建                       填表时间：2023年01月09日        共&amp;N页   第&amp;P页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国网山东省电力公司</vt:lpstr>
      <vt:lpstr>国网山东省电力公司!Print_Area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周凌安</cp:lastModifiedBy>
  <dcterms:created xsi:type="dcterms:W3CDTF">2023-07-14T07:12:56Z</dcterms:created>
  <dcterms:modified xsi:type="dcterms:W3CDTF">2026-07-15T05:59:20Z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2052-11.8.2.9026</vt:lpwstr>
  </property>
</Properties>
</file>